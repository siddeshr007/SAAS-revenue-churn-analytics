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b365-my.sharepoint.com/personal/bynigeri_uab_edu/Documents/Documents/Analyst Projects/SAAS revenue churn analytics/data/"/>
    </mc:Choice>
  </mc:AlternateContent>
  <xr:revisionPtr revIDLastSave="39" documentId="8_{AA6D0BA2-CCA8-4C4E-9C87-713999E7FD6F}" xr6:coauthVersionLast="47" xr6:coauthVersionMax="47" xr10:uidLastSave="{0295EB51-4E0E-488E-A9E4-8ACF2C768E38}"/>
  <bookViews>
    <workbookView xWindow="11424" yWindow="0" windowWidth="11712" windowHeight="12336" xr2:uid="{0A4D122C-C2E5-41D6-843E-F9DE02F7E7CB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4" i="1" l="1"/>
  <c r="I52" i="1"/>
  <c r="I108" i="1"/>
  <c r="I11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2" i="1"/>
  <c r="F3" i="1"/>
  <c r="I3" i="1" s="1"/>
  <c r="F4" i="1"/>
  <c r="I4" i="1" s="1"/>
  <c r="F5" i="1"/>
  <c r="I5" i="1" s="1"/>
  <c r="F6" i="1"/>
  <c r="I6" i="1" s="1"/>
  <c r="F7" i="1"/>
  <c r="I7" i="1" s="1"/>
  <c r="F8" i="1"/>
  <c r="I8" i="1" s="1"/>
  <c r="F9" i="1"/>
  <c r="I9" i="1" s="1"/>
  <c r="F10" i="1"/>
  <c r="I10" i="1" s="1"/>
  <c r="F11" i="1"/>
  <c r="I11" i="1" s="1"/>
  <c r="F12" i="1"/>
  <c r="I12" i="1" s="1"/>
  <c r="F13" i="1"/>
  <c r="F14" i="1"/>
  <c r="I14" i="1" s="1"/>
  <c r="F15" i="1"/>
  <c r="I15" i="1" s="1"/>
  <c r="F16" i="1"/>
  <c r="I16" i="1" s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F24" i="1"/>
  <c r="I24" i="1" s="1"/>
  <c r="F25" i="1"/>
  <c r="I25" i="1" s="1"/>
  <c r="F26" i="1"/>
  <c r="I26" i="1" s="1"/>
  <c r="F27" i="1"/>
  <c r="I27" i="1" s="1"/>
  <c r="F28" i="1"/>
  <c r="I28" i="1" s="1"/>
  <c r="F29" i="1"/>
  <c r="I29" i="1" s="1"/>
  <c r="F30" i="1"/>
  <c r="I30" i="1" s="1"/>
  <c r="F31" i="1"/>
  <c r="I31" i="1" s="1"/>
  <c r="F32" i="1"/>
  <c r="I32" i="1" s="1"/>
  <c r="F33" i="1"/>
  <c r="I33" i="1" s="1"/>
  <c r="F34" i="1"/>
  <c r="I34" i="1" s="1"/>
  <c r="F35" i="1"/>
  <c r="I35" i="1" s="1"/>
  <c r="F36" i="1"/>
  <c r="I36" i="1" s="1"/>
  <c r="F37" i="1"/>
  <c r="F38" i="1"/>
  <c r="I38" i="1" s="1"/>
  <c r="F39" i="1"/>
  <c r="I39" i="1" s="1"/>
  <c r="F40" i="1"/>
  <c r="I40" i="1" s="1"/>
  <c r="F41" i="1"/>
  <c r="I41" i="1" s="1"/>
  <c r="F42" i="1"/>
  <c r="I42" i="1" s="1"/>
  <c r="F43" i="1"/>
  <c r="I43" i="1" s="1"/>
  <c r="F44" i="1"/>
  <c r="F45" i="1"/>
  <c r="I45" i="1" s="1"/>
  <c r="F46" i="1"/>
  <c r="I46" i="1" s="1"/>
  <c r="F47" i="1"/>
  <c r="I47" i="1" s="1"/>
  <c r="F48" i="1"/>
  <c r="I48" i="1" s="1"/>
  <c r="F49" i="1"/>
  <c r="I49" i="1" s="1"/>
  <c r="F50" i="1"/>
  <c r="I50" i="1" s="1"/>
  <c r="F51" i="1"/>
  <c r="I51" i="1" s="1"/>
  <c r="F52" i="1"/>
  <c r="F53" i="1"/>
  <c r="I53" i="1" s="1"/>
  <c r="F54" i="1"/>
  <c r="I54" i="1" s="1"/>
  <c r="F55" i="1"/>
  <c r="I55" i="1" s="1"/>
  <c r="F56" i="1"/>
  <c r="I56" i="1" s="1"/>
  <c r="F57" i="1"/>
  <c r="I57" i="1" s="1"/>
  <c r="F58" i="1"/>
  <c r="I58" i="1" s="1"/>
  <c r="F59" i="1"/>
  <c r="I59" i="1" s="1"/>
  <c r="F60" i="1"/>
  <c r="I60" i="1" s="1"/>
  <c r="F61" i="1"/>
  <c r="F62" i="1"/>
  <c r="I62" i="1" s="1"/>
  <c r="F63" i="1"/>
  <c r="I63" i="1" s="1"/>
  <c r="F64" i="1"/>
  <c r="I64" i="1" s="1"/>
  <c r="F65" i="1"/>
  <c r="I65" i="1" s="1"/>
  <c r="F66" i="1"/>
  <c r="I66" i="1" s="1"/>
  <c r="F67" i="1"/>
  <c r="I67" i="1" s="1"/>
  <c r="F68" i="1"/>
  <c r="I68" i="1" s="1"/>
  <c r="F69" i="1"/>
  <c r="I69" i="1" s="1"/>
  <c r="F70" i="1"/>
  <c r="F71" i="1"/>
  <c r="I71" i="1" s="1"/>
  <c r="F72" i="1"/>
  <c r="I72" i="1" s="1"/>
  <c r="F73" i="1"/>
  <c r="I73" i="1" s="1"/>
  <c r="F74" i="1"/>
  <c r="I74" i="1" s="1"/>
  <c r="F75" i="1"/>
  <c r="I75" i="1" s="1"/>
  <c r="F76" i="1"/>
  <c r="I76" i="1" s="1"/>
  <c r="F77" i="1"/>
  <c r="I77" i="1" s="1"/>
  <c r="F78" i="1"/>
  <c r="I78" i="1" s="1"/>
  <c r="F79" i="1"/>
  <c r="I79" i="1" s="1"/>
  <c r="F80" i="1"/>
  <c r="I80" i="1" s="1"/>
  <c r="F81" i="1"/>
  <c r="I81" i="1" s="1"/>
  <c r="F82" i="1"/>
  <c r="I82" i="1" s="1"/>
  <c r="F83" i="1"/>
  <c r="I83" i="1" s="1"/>
  <c r="F84" i="1"/>
  <c r="I84" i="1" s="1"/>
  <c r="F85" i="1"/>
  <c r="F86" i="1"/>
  <c r="I86" i="1" s="1"/>
  <c r="F87" i="1"/>
  <c r="I87" i="1" s="1"/>
  <c r="F88" i="1"/>
  <c r="I88" i="1" s="1"/>
  <c r="F89" i="1"/>
  <c r="I89" i="1" s="1"/>
  <c r="F90" i="1"/>
  <c r="I90" i="1" s="1"/>
  <c r="F91" i="1"/>
  <c r="I91" i="1" s="1"/>
  <c r="F92" i="1"/>
  <c r="I92" i="1" s="1"/>
  <c r="F93" i="1"/>
  <c r="I93" i="1" s="1"/>
  <c r="F94" i="1"/>
  <c r="I94" i="1" s="1"/>
  <c r="F95" i="1"/>
  <c r="I95" i="1" s="1"/>
  <c r="F96" i="1"/>
  <c r="I96" i="1" s="1"/>
  <c r="F97" i="1"/>
  <c r="I97" i="1" s="1"/>
  <c r="F98" i="1"/>
  <c r="I98" i="1" s="1"/>
  <c r="F99" i="1"/>
  <c r="I99" i="1" s="1"/>
  <c r="F100" i="1"/>
  <c r="I100" i="1" s="1"/>
  <c r="F101" i="1"/>
  <c r="F102" i="1"/>
  <c r="I102" i="1" s="1"/>
  <c r="F103" i="1"/>
  <c r="I103" i="1" s="1"/>
  <c r="F104" i="1"/>
  <c r="I104" i="1" s="1"/>
  <c r="F105" i="1"/>
  <c r="I105" i="1" s="1"/>
  <c r="F106" i="1"/>
  <c r="I106" i="1" s="1"/>
  <c r="F107" i="1"/>
  <c r="I107" i="1" s="1"/>
  <c r="F108" i="1"/>
  <c r="F109" i="1"/>
  <c r="I109" i="1" s="1"/>
  <c r="F110" i="1"/>
  <c r="I110" i="1" s="1"/>
  <c r="F111" i="1"/>
  <c r="I111" i="1" s="1"/>
  <c r="F112" i="1"/>
  <c r="I112" i="1" s="1"/>
  <c r="F113" i="1"/>
  <c r="I113" i="1" s="1"/>
  <c r="F114" i="1"/>
  <c r="I114" i="1" s="1"/>
  <c r="F115" i="1"/>
  <c r="I115" i="1" s="1"/>
  <c r="F116" i="1"/>
  <c r="F117" i="1"/>
  <c r="I117" i="1" s="1"/>
  <c r="F118" i="1"/>
  <c r="I118" i="1" s="1"/>
  <c r="F119" i="1"/>
  <c r="I119" i="1" s="1"/>
  <c r="F120" i="1"/>
  <c r="I120" i="1" s="1"/>
  <c r="F121" i="1"/>
  <c r="I121" i="1" s="1"/>
  <c r="F122" i="1"/>
  <c r="I122" i="1" s="1"/>
  <c r="F123" i="1"/>
  <c r="I123" i="1" s="1"/>
  <c r="F124" i="1"/>
  <c r="I124" i="1" s="1"/>
  <c r="F125" i="1"/>
  <c r="I125" i="1" s="1"/>
  <c r="F126" i="1"/>
  <c r="I126" i="1" s="1"/>
  <c r="F127" i="1"/>
  <c r="I127" i="1" s="1"/>
  <c r="F128" i="1"/>
  <c r="I128" i="1" s="1"/>
  <c r="F129" i="1"/>
  <c r="I129" i="1" s="1"/>
  <c r="F130" i="1"/>
  <c r="I130" i="1" s="1"/>
  <c r="F131" i="1"/>
  <c r="I131" i="1" s="1"/>
  <c r="F132" i="1"/>
  <c r="I132" i="1" s="1"/>
  <c r="F133" i="1"/>
  <c r="F134" i="1"/>
  <c r="I134" i="1" s="1"/>
  <c r="F135" i="1"/>
  <c r="I135" i="1" s="1"/>
  <c r="F136" i="1"/>
  <c r="I136" i="1" s="1"/>
  <c r="F137" i="1"/>
  <c r="I137" i="1" s="1"/>
  <c r="F138" i="1"/>
  <c r="I138" i="1" s="1"/>
  <c r="F139" i="1"/>
  <c r="I139" i="1" s="1"/>
  <c r="F140" i="1"/>
  <c r="I140" i="1" s="1"/>
  <c r="F141" i="1"/>
  <c r="F142" i="1"/>
  <c r="I142" i="1" s="1"/>
  <c r="F143" i="1"/>
  <c r="I143" i="1" s="1"/>
  <c r="F144" i="1"/>
  <c r="I144" i="1" s="1"/>
  <c r="F145" i="1"/>
  <c r="I145" i="1" s="1"/>
  <c r="F146" i="1"/>
  <c r="I146" i="1" s="1"/>
  <c r="F147" i="1"/>
  <c r="I147" i="1" s="1"/>
  <c r="F148" i="1"/>
  <c r="I148" i="1" s="1"/>
  <c r="F149" i="1"/>
  <c r="F150" i="1"/>
  <c r="I150" i="1" s="1"/>
  <c r="F151" i="1"/>
  <c r="I151" i="1" s="1"/>
  <c r="F2" i="1"/>
  <c r="I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2" i="1"/>
  <c r="C3" i="1"/>
  <c r="G3" i="1" s="1"/>
  <c r="C4" i="1"/>
  <c r="G4" i="1" s="1"/>
  <c r="C5" i="1"/>
  <c r="G5" i="1" s="1"/>
  <c r="C6" i="1"/>
  <c r="G6" i="1" s="1"/>
  <c r="C7" i="1"/>
  <c r="G7" i="1" s="1"/>
  <c r="C8" i="1"/>
  <c r="G8" i="1" s="1"/>
  <c r="C9" i="1"/>
  <c r="G9" i="1" s="1"/>
  <c r="C10" i="1"/>
  <c r="G10" i="1" s="1"/>
  <c r="C11" i="1"/>
  <c r="G11" i="1" s="1"/>
  <c r="C12" i="1"/>
  <c r="G12" i="1" s="1"/>
  <c r="C13" i="1"/>
  <c r="G13" i="1" s="1"/>
  <c r="C14" i="1"/>
  <c r="G14" i="1" s="1"/>
  <c r="C15" i="1"/>
  <c r="G15" i="1" s="1"/>
  <c r="C16" i="1"/>
  <c r="G16" i="1" s="1"/>
  <c r="C17" i="1"/>
  <c r="G17" i="1" s="1"/>
  <c r="C18" i="1"/>
  <c r="G18" i="1" s="1"/>
  <c r="C19" i="1"/>
  <c r="G19" i="1" s="1"/>
  <c r="C20" i="1"/>
  <c r="G20" i="1" s="1"/>
  <c r="C21" i="1"/>
  <c r="G21" i="1" s="1"/>
  <c r="C22" i="1"/>
  <c r="G22" i="1" s="1"/>
  <c r="C23" i="1"/>
  <c r="G23" i="1" s="1"/>
  <c r="C24" i="1"/>
  <c r="G24" i="1" s="1"/>
  <c r="C25" i="1"/>
  <c r="G25" i="1" s="1"/>
  <c r="C26" i="1"/>
  <c r="G26" i="1" s="1"/>
  <c r="C27" i="1"/>
  <c r="G27" i="1" s="1"/>
  <c r="C28" i="1"/>
  <c r="G28" i="1" s="1"/>
  <c r="C29" i="1"/>
  <c r="G29" i="1" s="1"/>
  <c r="C30" i="1"/>
  <c r="G30" i="1" s="1"/>
  <c r="C31" i="1"/>
  <c r="G31" i="1" s="1"/>
  <c r="C32" i="1"/>
  <c r="G32" i="1" s="1"/>
  <c r="C33" i="1"/>
  <c r="G33" i="1" s="1"/>
  <c r="C34" i="1"/>
  <c r="G34" i="1" s="1"/>
  <c r="C35" i="1"/>
  <c r="G35" i="1" s="1"/>
  <c r="C36" i="1"/>
  <c r="G36" i="1" s="1"/>
  <c r="C37" i="1"/>
  <c r="G37" i="1" s="1"/>
  <c r="C38" i="1"/>
  <c r="G38" i="1" s="1"/>
  <c r="C39" i="1"/>
  <c r="G39" i="1" s="1"/>
  <c r="C40" i="1"/>
  <c r="G40" i="1" s="1"/>
  <c r="C41" i="1"/>
  <c r="G41" i="1" s="1"/>
  <c r="C42" i="1"/>
  <c r="G42" i="1" s="1"/>
  <c r="C43" i="1"/>
  <c r="G43" i="1" s="1"/>
  <c r="C44" i="1"/>
  <c r="G44" i="1" s="1"/>
  <c r="C45" i="1"/>
  <c r="G45" i="1" s="1"/>
  <c r="C46" i="1"/>
  <c r="G46" i="1" s="1"/>
  <c r="C47" i="1"/>
  <c r="G47" i="1" s="1"/>
  <c r="C48" i="1"/>
  <c r="G48" i="1" s="1"/>
  <c r="C49" i="1"/>
  <c r="G49" i="1" s="1"/>
  <c r="C50" i="1"/>
  <c r="G50" i="1" s="1"/>
  <c r="C51" i="1"/>
  <c r="G51" i="1" s="1"/>
  <c r="C52" i="1"/>
  <c r="G52" i="1" s="1"/>
  <c r="C53" i="1"/>
  <c r="G53" i="1" s="1"/>
  <c r="C54" i="1"/>
  <c r="G54" i="1" s="1"/>
  <c r="C55" i="1"/>
  <c r="G55" i="1" s="1"/>
  <c r="C56" i="1"/>
  <c r="G56" i="1" s="1"/>
  <c r="C57" i="1"/>
  <c r="G57" i="1" s="1"/>
  <c r="C58" i="1"/>
  <c r="G58" i="1" s="1"/>
  <c r="C59" i="1"/>
  <c r="G59" i="1" s="1"/>
  <c r="C60" i="1"/>
  <c r="G60" i="1" s="1"/>
  <c r="C61" i="1"/>
  <c r="G61" i="1" s="1"/>
  <c r="C62" i="1"/>
  <c r="G62" i="1" s="1"/>
  <c r="C63" i="1"/>
  <c r="G63" i="1" s="1"/>
  <c r="C64" i="1"/>
  <c r="G64" i="1" s="1"/>
  <c r="C65" i="1"/>
  <c r="G65" i="1" s="1"/>
  <c r="C66" i="1"/>
  <c r="G66" i="1" s="1"/>
  <c r="C67" i="1"/>
  <c r="G67" i="1" s="1"/>
  <c r="C68" i="1"/>
  <c r="G68" i="1" s="1"/>
  <c r="C69" i="1"/>
  <c r="G69" i="1" s="1"/>
  <c r="C70" i="1"/>
  <c r="G70" i="1" s="1"/>
  <c r="C71" i="1"/>
  <c r="G71" i="1" s="1"/>
  <c r="C72" i="1"/>
  <c r="G72" i="1" s="1"/>
  <c r="C73" i="1"/>
  <c r="G73" i="1" s="1"/>
  <c r="C74" i="1"/>
  <c r="G74" i="1" s="1"/>
  <c r="C75" i="1"/>
  <c r="G75" i="1" s="1"/>
  <c r="C76" i="1"/>
  <c r="G76" i="1" s="1"/>
  <c r="C77" i="1"/>
  <c r="G77" i="1" s="1"/>
  <c r="C78" i="1"/>
  <c r="G78" i="1" s="1"/>
  <c r="C79" i="1"/>
  <c r="G79" i="1" s="1"/>
  <c r="C80" i="1"/>
  <c r="G80" i="1" s="1"/>
  <c r="C81" i="1"/>
  <c r="G81" i="1" s="1"/>
  <c r="C82" i="1"/>
  <c r="G82" i="1" s="1"/>
  <c r="C83" i="1"/>
  <c r="G83" i="1" s="1"/>
  <c r="C84" i="1"/>
  <c r="G84" i="1" s="1"/>
  <c r="C85" i="1"/>
  <c r="G85" i="1" s="1"/>
  <c r="C86" i="1"/>
  <c r="G86" i="1" s="1"/>
  <c r="C87" i="1"/>
  <c r="G87" i="1" s="1"/>
  <c r="C88" i="1"/>
  <c r="G88" i="1" s="1"/>
  <c r="C89" i="1"/>
  <c r="G89" i="1" s="1"/>
  <c r="C90" i="1"/>
  <c r="G90" i="1" s="1"/>
  <c r="C91" i="1"/>
  <c r="G91" i="1" s="1"/>
  <c r="C92" i="1"/>
  <c r="G92" i="1" s="1"/>
  <c r="C93" i="1"/>
  <c r="G93" i="1" s="1"/>
  <c r="C94" i="1"/>
  <c r="G94" i="1" s="1"/>
  <c r="C95" i="1"/>
  <c r="G95" i="1" s="1"/>
  <c r="C96" i="1"/>
  <c r="G96" i="1" s="1"/>
  <c r="C97" i="1"/>
  <c r="G97" i="1" s="1"/>
  <c r="C98" i="1"/>
  <c r="G98" i="1" s="1"/>
  <c r="C99" i="1"/>
  <c r="G99" i="1" s="1"/>
  <c r="C100" i="1"/>
  <c r="G100" i="1" s="1"/>
  <c r="C101" i="1"/>
  <c r="G101" i="1" s="1"/>
  <c r="C102" i="1"/>
  <c r="G102" i="1" s="1"/>
  <c r="C103" i="1"/>
  <c r="G103" i="1" s="1"/>
  <c r="C104" i="1"/>
  <c r="G104" i="1" s="1"/>
  <c r="C105" i="1"/>
  <c r="G105" i="1" s="1"/>
  <c r="C106" i="1"/>
  <c r="G106" i="1" s="1"/>
  <c r="C107" i="1"/>
  <c r="G107" i="1" s="1"/>
  <c r="C108" i="1"/>
  <c r="G108" i="1" s="1"/>
  <c r="C109" i="1"/>
  <c r="G109" i="1" s="1"/>
  <c r="C110" i="1"/>
  <c r="G110" i="1" s="1"/>
  <c r="C111" i="1"/>
  <c r="G111" i="1" s="1"/>
  <c r="C112" i="1"/>
  <c r="G112" i="1" s="1"/>
  <c r="C113" i="1"/>
  <c r="G113" i="1" s="1"/>
  <c r="C114" i="1"/>
  <c r="G114" i="1" s="1"/>
  <c r="C115" i="1"/>
  <c r="G115" i="1" s="1"/>
  <c r="C116" i="1"/>
  <c r="G116" i="1" s="1"/>
  <c r="C117" i="1"/>
  <c r="G117" i="1" s="1"/>
  <c r="C118" i="1"/>
  <c r="G118" i="1" s="1"/>
  <c r="C119" i="1"/>
  <c r="G119" i="1" s="1"/>
  <c r="C120" i="1"/>
  <c r="G120" i="1" s="1"/>
  <c r="C121" i="1"/>
  <c r="G121" i="1" s="1"/>
  <c r="C122" i="1"/>
  <c r="G122" i="1" s="1"/>
  <c r="C123" i="1"/>
  <c r="G123" i="1" s="1"/>
  <c r="C124" i="1"/>
  <c r="G124" i="1" s="1"/>
  <c r="C125" i="1"/>
  <c r="G125" i="1" s="1"/>
  <c r="C126" i="1"/>
  <c r="G126" i="1" s="1"/>
  <c r="C127" i="1"/>
  <c r="G127" i="1" s="1"/>
  <c r="C128" i="1"/>
  <c r="G128" i="1" s="1"/>
  <c r="C129" i="1"/>
  <c r="G129" i="1" s="1"/>
  <c r="C130" i="1"/>
  <c r="G130" i="1" s="1"/>
  <c r="C131" i="1"/>
  <c r="G131" i="1" s="1"/>
  <c r="C132" i="1"/>
  <c r="G132" i="1" s="1"/>
  <c r="C133" i="1"/>
  <c r="G133" i="1" s="1"/>
  <c r="C134" i="1"/>
  <c r="G134" i="1" s="1"/>
  <c r="C135" i="1"/>
  <c r="G135" i="1" s="1"/>
  <c r="C136" i="1"/>
  <c r="G136" i="1" s="1"/>
  <c r="C137" i="1"/>
  <c r="G137" i="1" s="1"/>
  <c r="C138" i="1"/>
  <c r="G138" i="1" s="1"/>
  <c r="C139" i="1"/>
  <c r="G139" i="1" s="1"/>
  <c r="C140" i="1"/>
  <c r="G140" i="1" s="1"/>
  <c r="C141" i="1"/>
  <c r="G141" i="1" s="1"/>
  <c r="C142" i="1"/>
  <c r="G142" i="1" s="1"/>
  <c r="C143" i="1"/>
  <c r="G143" i="1" s="1"/>
  <c r="C144" i="1"/>
  <c r="G144" i="1" s="1"/>
  <c r="C145" i="1"/>
  <c r="G145" i="1" s="1"/>
  <c r="C146" i="1"/>
  <c r="G146" i="1" s="1"/>
  <c r="C147" i="1"/>
  <c r="G147" i="1" s="1"/>
  <c r="C148" i="1"/>
  <c r="G148" i="1" s="1"/>
  <c r="C149" i="1"/>
  <c r="G149" i="1" s="1"/>
  <c r="C150" i="1"/>
  <c r="G150" i="1" s="1"/>
  <c r="C151" i="1"/>
  <c r="G151" i="1" s="1"/>
  <c r="C2" i="1"/>
  <c r="G2" i="1" s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3" i="1"/>
  <c r="I70" i="1" l="1"/>
  <c r="I149" i="1"/>
  <c r="I141" i="1"/>
  <c r="I133" i="1"/>
  <c r="I101" i="1"/>
  <c r="I85" i="1"/>
  <c r="I61" i="1"/>
  <c r="I37" i="1"/>
  <c r="I13" i="1"/>
</calcChain>
</file>

<file path=xl/sharedStrings.xml><?xml version="1.0" encoding="utf-8"?>
<sst xmlns="http://schemas.openxmlformats.org/spreadsheetml/2006/main" count="159" uniqueCount="159">
  <si>
    <t>customer_id</t>
  </si>
  <si>
    <t>signup_month</t>
  </si>
  <si>
    <t>plan_type</t>
  </si>
  <si>
    <t>region</t>
  </si>
  <si>
    <t>acquisition_channel</t>
  </si>
  <si>
    <t>status</t>
  </si>
  <si>
    <t>montly_fee</t>
  </si>
  <si>
    <t>tenure_months</t>
  </si>
  <si>
    <t>churned_after_months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</si>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</sst>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B9F1-69F3-4FEE-8E0B-78C0FA038C13}" name="tbl_customers" displayName="tbl_customers" ref="A1:I151" totalsRowShown="0">
  <autoFilter ref="A1:I151" xr:uid="{628BB9F1-69F3-4FEE-8E0B-78C0FA038C13}"/>
  <tableColumns count="9">
    <tableColumn id="1" xr3:uid="{E487F404-6D8E-4CFA-A792-64DBAF68AE70}" name="customer_id"/>
    <tableColumn id="2" xr3:uid="{60227628-EFF7-4E27-925A-7230DACD15C6}" name="signup_month" dataDxfId="1">
      <calculatedColumnFormula>DATE(2023, RANDBETWEEN(1,12), 1)</calculatedColumnFormula>
    </tableColumn>
    <tableColumn id="3" xr3:uid="{09206C40-08EB-4C80-BCBE-8F6EC2BC8FEE}" name="plan_type">
      <calculatedColumnFormula>CHOOSE(RANDBETWEEN(1,3),"Basic","Standard","Premium")</calculatedColumnFormula>
    </tableColumn>
    <tableColumn id="4" xr3:uid="{664C92AB-2C3A-4619-86AD-106052E9B269}" name="region">
      <calculatedColumnFormula>CHOOSE(RANDBETWEEN(1,4),"North America","Europe","APAC","LATAM")</calculatedColumnFormula>
    </tableColumn>
    <tableColumn id="5" xr3:uid="{B49C4B06-3316-40BA-B5B5-8628E88EA727}" name="acquisition_channel">
      <calculatedColumnFormula>CHOOSE(RANDBETWEEN(1,4),"Ads","Organic","Referral","Partner")</calculatedColumnFormula>
    </tableColumn>
    <tableColumn id="6" xr3:uid="{02015BA6-CB90-415A-BD62-B6C43FAB22D8}" name="status">
      <calculatedColumnFormula>IF(RAND()&lt;=0.7,"Active","Churned")</calculatedColumnFormula>
    </tableColumn>
    <tableColumn id="7" xr3:uid="{1D8D279A-10E7-44D7-A980-6D8D91D6EF68}" name="montly_fee" dataDxfId="0" dataCellStyle="Currency">
      <calculatedColumnFormula>IF(C2="Basic", RANDBETWEEN(20,40),
   IF(C2="Standard", RANDBETWEEN(50,80),
   RANDBETWEEN(100,150)))</calculatedColumnFormula>
    </tableColumn>
    <tableColumn id="8" xr3:uid="{8F6AC0D4-A45B-4D66-8195-E589EEC625F6}" name="tenure_months">
      <calculatedColumnFormula>RANDBETWEEN(1,24)</calculatedColumnFormula>
    </tableColumn>
    <tableColumn id="9" xr3:uid="{095A61DC-E011-45E5-B670-87F97820DB85}" name="churned_after_months">
      <calculatedColumnFormula>IF(F2="Churned", RANDBETWEEN(1, H2),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A539C-828A-4B7C-A96E-328DD09CE17F}">
  <dimension ref="A1:I151"/>
  <sheetViews>
    <sheetView tabSelected="1" workbookViewId="0">
      <selection activeCell="E14" sqref="E14"/>
    </sheetView>
  </sheetViews>
  <sheetFormatPr defaultRowHeight="14.4" x14ac:dyDescent="0.3"/>
  <cols>
    <col min="1" max="1" width="13.21875" customWidth="1"/>
    <col min="2" max="2" width="14.44140625" customWidth="1"/>
    <col min="3" max="3" width="11" customWidth="1"/>
    <col min="4" max="4" width="12.6640625" bestFit="1" customWidth="1"/>
    <col min="5" max="5" width="19.5546875" customWidth="1"/>
    <col min="7" max="7" width="12" customWidth="1"/>
    <col min="8" max="8" width="15.21875" customWidth="1"/>
    <col min="9" max="9" width="21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44927</v>
      </c>
      <c r="C2" t="str">
        <f ca="1">CHOOSE(RANDBETWEEN(1,3),"Basic","Standard","Premium")</f>
        <v>Basic</v>
      </c>
      <c r="D2" t="str">
        <f ca="1">CHOOSE(RANDBETWEEN(1,4),"North America","Europe","APAC","LATAM")</f>
        <v>LATAM</v>
      </c>
      <c r="E2" t="str">
        <f ca="1">CHOOSE(RANDBETWEEN(1,4),"Ads","Organic","Referral","Partner")</f>
        <v>Partner</v>
      </c>
      <c r="F2" t="str">
        <f ca="1">IF(RAND()&lt;=0.7,"Active","Churned")</f>
        <v>Active</v>
      </c>
      <c r="G2" s="2">
        <f ca="1">IF(C2="Basic", RANDBETWEEN(20,40),
   IF(C2="Standard", RANDBETWEEN(50,80),
   RANDBETWEEN(100,150)))</f>
        <v>26</v>
      </c>
      <c r="H2">
        <f ca="1">RANDBETWEEN(1,24)</f>
        <v>11</v>
      </c>
      <c r="I2" t="str">
        <f ca="1">IF(F2="Churned", RANDBETWEEN(1, H2), "")</f>
        <v/>
      </c>
    </row>
    <row r="3" spans="1:9" x14ac:dyDescent="0.3">
      <c r="A3" t="s">
        <v>10</v>
      </c>
      <c r="B3" s="1">
        <f ca="1">DATE(2023, RANDBETWEEN(1,12), 1)</f>
        <v>44927</v>
      </c>
      <c r="C3" t="str">
        <f t="shared" ref="C3:C66" ca="1" si="0">CHOOSE(RANDBETWEEN(1,3),"Basic","Standard","Premium")</f>
        <v>Standard</v>
      </c>
      <c r="D3" t="str">
        <f t="shared" ref="D3:D66" ca="1" si="1">CHOOSE(RANDBETWEEN(1,4),"North America","Europe","APAC","LATAM")</f>
        <v>APAC</v>
      </c>
      <c r="E3" t="str">
        <f t="shared" ref="E3:E66" ca="1" si="2">CHOOSE(RANDBETWEEN(1,4),"Ads","Organic","Referral","Partner")</f>
        <v>Ads</v>
      </c>
      <c r="F3" t="str">
        <f t="shared" ref="F3:F66" ca="1" si="3">IF(RAND()&lt;=0.7,"Active","Churned")</f>
        <v>Churned</v>
      </c>
      <c r="G3" s="2">
        <f t="shared" ref="G3:G66" ca="1" si="4">IF(C3="Basic", RANDBETWEEN(20,40),
   IF(C3="Standard", RANDBETWEEN(50,80),
   RANDBETWEEN(100,150)))</f>
        <v>59</v>
      </c>
      <c r="H3">
        <f t="shared" ref="H3:H66" ca="1" si="5">RANDBETWEEN(1,24)</f>
        <v>7</v>
      </c>
      <c r="I3">
        <f t="shared" ref="I3:I66" ca="1" si="6">IF(F3="Churned", RANDBETWEEN(1, H3), "")</f>
        <v>7</v>
      </c>
    </row>
    <row r="4" spans="1:9" x14ac:dyDescent="0.3">
      <c r="A4" t="s">
        <v>11</v>
      </c>
      <c r="B4" s="1">
        <f t="shared" ref="B4:B67" ca="1" si="7">DATE(2023, RANDBETWEEN(1,12), 1)</f>
        <v>45108</v>
      </c>
      <c r="C4" t="str">
        <f t="shared" ca="1" si="0"/>
        <v>Basic</v>
      </c>
      <c r="D4" t="str">
        <f t="shared" ca="1" si="1"/>
        <v>LATAM</v>
      </c>
      <c r="E4" t="str">
        <f t="shared" ca="1" si="2"/>
        <v>Organic</v>
      </c>
      <c r="F4" t="str">
        <f t="shared" ca="1" si="3"/>
        <v>Active</v>
      </c>
      <c r="G4" s="2">
        <f t="shared" ca="1" si="4"/>
        <v>21</v>
      </c>
      <c r="H4">
        <f t="shared" ca="1" si="5"/>
        <v>13</v>
      </c>
      <c r="I4" t="str">
        <f t="shared" ca="1" si="6"/>
        <v/>
      </c>
    </row>
    <row r="5" spans="1:9" x14ac:dyDescent="0.3">
      <c r="A5" t="s">
        <v>12</v>
      </c>
      <c r="B5" s="1">
        <f t="shared" ca="1" si="7"/>
        <v>44958</v>
      </c>
      <c r="C5" t="str">
        <f t="shared" ca="1" si="0"/>
        <v>Standard</v>
      </c>
      <c r="D5" t="str">
        <f t="shared" ca="1" si="1"/>
        <v>North America</v>
      </c>
      <c r="E5" t="str">
        <f t="shared" ca="1" si="2"/>
        <v>Ads</v>
      </c>
      <c r="F5" t="str">
        <f t="shared" ca="1" si="3"/>
        <v>Active</v>
      </c>
      <c r="G5" s="2">
        <f t="shared" ca="1" si="4"/>
        <v>80</v>
      </c>
      <c r="H5">
        <f t="shared" ca="1" si="5"/>
        <v>11</v>
      </c>
      <c r="I5" t="str">
        <f t="shared" ca="1" si="6"/>
        <v/>
      </c>
    </row>
    <row r="6" spans="1:9" x14ac:dyDescent="0.3">
      <c r="A6" t="s">
        <v>13</v>
      </c>
      <c r="B6" s="1">
        <f t="shared" ca="1" si="7"/>
        <v>45139</v>
      </c>
      <c r="C6" t="str">
        <f t="shared" ca="1" si="0"/>
        <v>Standard</v>
      </c>
      <c r="D6" t="str">
        <f t="shared" ca="1" si="1"/>
        <v>LATAM</v>
      </c>
      <c r="E6" t="str">
        <f t="shared" ca="1" si="2"/>
        <v>Partner</v>
      </c>
      <c r="F6" t="str">
        <f t="shared" ca="1" si="3"/>
        <v>Active</v>
      </c>
      <c r="G6" s="2">
        <f t="shared" ca="1" si="4"/>
        <v>52</v>
      </c>
      <c r="H6">
        <f t="shared" ca="1" si="5"/>
        <v>15</v>
      </c>
      <c r="I6" t="str">
        <f t="shared" ca="1" si="6"/>
        <v/>
      </c>
    </row>
    <row r="7" spans="1:9" x14ac:dyDescent="0.3">
      <c r="A7" t="s">
        <v>14</v>
      </c>
      <c r="B7" s="1">
        <f t="shared" ca="1" si="7"/>
        <v>45047</v>
      </c>
      <c r="C7" t="str">
        <f t="shared" ca="1" si="0"/>
        <v>Basic</v>
      </c>
      <c r="D7" t="str">
        <f t="shared" ca="1" si="1"/>
        <v>APAC</v>
      </c>
      <c r="E7" t="str">
        <f t="shared" ca="1" si="2"/>
        <v>Referral</v>
      </c>
      <c r="F7" t="str">
        <f t="shared" ca="1" si="3"/>
        <v>Active</v>
      </c>
      <c r="G7" s="2">
        <f t="shared" ca="1" si="4"/>
        <v>40</v>
      </c>
      <c r="H7">
        <f t="shared" ca="1" si="5"/>
        <v>15</v>
      </c>
      <c r="I7" t="str">
        <f t="shared" ca="1" si="6"/>
        <v/>
      </c>
    </row>
    <row r="8" spans="1:9" x14ac:dyDescent="0.3">
      <c r="A8" t="s">
        <v>15</v>
      </c>
      <c r="B8" s="1">
        <f t="shared" ca="1" si="7"/>
        <v>44958</v>
      </c>
      <c r="C8" t="str">
        <f t="shared" ca="1" si="0"/>
        <v>Premium</v>
      </c>
      <c r="D8" t="str">
        <f t="shared" ca="1" si="1"/>
        <v>Europe</v>
      </c>
      <c r="E8" t="str">
        <f t="shared" ca="1" si="2"/>
        <v>Referral</v>
      </c>
      <c r="F8" t="str">
        <f t="shared" ca="1" si="3"/>
        <v>Active</v>
      </c>
      <c r="G8" s="2">
        <f t="shared" ca="1" si="4"/>
        <v>117</v>
      </c>
      <c r="H8">
        <f t="shared" ca="1" si="5"/>
        <v>21</v>
      </c>
      <c r="I8" t="str">
        <f t="shared" ca="1" si="6"/>
        <v/>
      </c>
    </row>
    <row r="9" spans="1:9" x14ac:dyDescent="0.3">
      <c r="A9" t="s">
        <v>16</v>
      </c>
      <c r="B9" s="1">
        <f t="shared" ca="1" si="7"/>
        <v>44927</v>
      </c>
      <c r="C9" t="str">
        <f t="shared" ca="1" si="0"/>
        <v>Basic</v>
      </c>
      <c r="D9" t="str">
        <f t="shared" ca="1" si="1"/>
        <v>North America</v>
      </c>
      <c r="E9" t="str">
        <f t="shared" ca="1" si="2"/>
        <v>Partner</v>
      </c>
      <c r="F9" t="str">
        <f t="shared" ca="1" si="3"/>
        <v>Active</v>
      </c>
      <c r="G9" s="2">
        <f t="shared" ca="1" si="4"/>
        <v>30</v>
      </c>
      <c r="H9">
        <f t="shared" ca="1" si="5"/>
        <v>17</v>
      </c>
      <c r="I9" t="str">
        <f t="shared" ca="1" si="6"/>
        <v/>
      </c>
    </row>
    <row r="10" spans="1:9" x14ac:dyDescent="0.3">
      <c r="A10" t="s">
        <v>17</v>
      </c>
      <c r="B10" s="1">
        <f t="shared" ca="1" si="7"/>
        <v>45261</v>
      </c>
      <c r="C10" t="str">
        <f t="shared" ca="1" si="0"/>
        <v>Basic</v>
      </c>
      <c r="D10" t="str">
        <f t="shared" ca="1" si="1"/>
        <v>LATAM</v>
      </c>
      <c r="E10" t="str">
        <f t="shared" ca="1" si="2"/>
        <v>Organic</v>
      </c>
      <c r="F10" t="str">
        <f t="shared" ca="1" si="3"/>
        <v>Active</v>
      </c>
      <c r="G10" s="2">
        <f t="shared" ca="1" si="4"/>
        <v>34</v>
      </c>
      <c r="H10">
        <f t="shared" ca="1" si="5"/>
        <v>17</v>
      </c>
      <c r="I10" t="str">
        <f t="shared" ca="1" si="6"/>
        <v/>
      </c>
    </row>
    <row r="11" spans="1:9" x14ac:dyDescent="0.3">
      <c r="A11" t="s">
        <v>18</v>
      </c>
      <c r="B11" s="1">
        <f t="shared" ca="1" si="7"/>
        <v>45047</v>
      </c>
      <c r="C11" t="str">
        <f t="shared" ca="1" si="0"/>
        <v>Basic</v>
      </c>
      <c r="D11" t="str">
        <f t="shared" ca="1" si="1"/>
        <v>Europe</v>
      </c>
      <c r="E11" t="str">
        <f t="shared" ca="1" si="2"/>
        <v>Organic</v>
      </c>
      <c r="F11" t="str">
        <f t="shared" ca="1" si="3"/>
        <v>Active</v>
      </c>
      <c r="G11" s="2">
        <f t="shared" ca="1" si="4"/>
        <v>28</v>
      </c>
      <c r="H11">
        <f t="shared" ca="1" si="5"/>
        <v>4</v>
      </c>
      <c r="I11" t="str">
        <f t="shared" ca="1" si="6"/>
        <v/>
      </c>
    </row>
    <row r="12" spans="1:9" x14ac:dyDescent="0.3">
      <c r="A12" t="s">
        <v>19</v>
      </c>
      <c r="B12" s="1">
        <f t="shared" ca="1" si="7"/>
        <v>44958</v>
      </c>
      <c r="C12" t="str">
        <f t="shared" ca="1" si="0"/>
        <v>Premium</v>
      </c>
      <c r="D12" t="str">
        <f t="shared" ca="1" si="1"/>
        <v>APAC</v>
      </c>
      <c r="E12" t="str">
        <f t="shared" ca="1" si="2"/>
        <v>Ads</v>
      </c>
      <c r="F12" t="str">
        <f t="shared" ca="1" si="3"/>
        <v>Churned</v>
      </c>
      <c r="G12" s="2">
        <f t="shared" ca="1" si="4"/>
        <v>110</v>
      </c>
      <c r="H12">
        <f t="shared" ca="1" si="5"/>
        <v>6</v>
      </c>
      <c r="I12">
        <f t="shared" ca="1" si="6"/>
        <v>2</v>
      </c>
    </row>
    <row r="13" spans="1:9" x14ac:dyDescent="0.3">
      <c r="A13" t="s">
        <v>20</v>
      </c>
      <c r="B13" s="1">
        <f t="shared" ca="1" si="7"/>
        <v>45200</v>
      </c>
      <c r="C13" t="str">
        <f t="shared" ca="1" si="0"/>
        <v>Basic</v>
      </c>
      <c r="D13" t="str">
        <f t="shared" ca="1" si="1"/>
        <v>APAC</v>
      </c>
      <c r="E13" t="str">
        <f t="shared" ca="1" si="2"/>
        <v>Partner</v>
      </c>
      <c r="F13" t="str">
        <f t="shared" ca="1" si="3"/>
        <v>Churned</v>
      </c>
      <c r="G13" s="2">
        <f t="shared" ca="1" si="4"/>
        <v>22</v>
      </c>
      <c r="H13">
        <f t="shared" ca="1" si="5"/>
        <v>12</v>
      </c>
      <c r="I13">
        <f t="shared" ca="1" si="6"/>
        <v>11</v>
      </c>
    </row>
    <row r="14" spans="1:9" x14ac:dyDescent="0.3">
      <c r="A14" t="s">
        <v>21</v>
      </c>
      <c r="B14" s="1">
        <f t="shared" ca="1" si="7"/>
        <v>45078</v>
      </c>
      <c r="C14" t="str">
        <f t="shared" ca="1" si="0"/>
        <v>Standard</v>
      </c>
      <c r="D14" t="str">
        <f t="shared" ca="1" si="1"/>
        <v>North America</v>
      </c>
      <c r="E14" t="str">
        <f t="shared" ca="1" si="2"/>
        <v>Ads</v>
      </c>
      <c r="F14" t="str">
        <f t="shared" ca="1" si="3"/>
        <v>Active</v>
      </c>
      <c r="G14" s="2">
        <f t="shared" ca="1" si="4"/>
        <v>59</v>
      </c>
      <c r="H14">
        <f t="shared" ca="1" si="5"/>
        <v>20</v>
      </c>
      <c r="I14" t="str">
        <f t="shared" ca="1" si="6"/>
        <v/>
      </c>
    </row>
    <row r="15" spans="1:9" x14ac:dyDescent="0.3">
      <c r="A15" t="s">
        <v>22</v>
      </c>
      <c r="B15" s="1">
        <f t="shared" ca="1" si="7"/>
        <v>44986</v>
      </c>
      <c r="C15" t="str">
        <f t="shared" ca="1" si="0"/>
        <v>Basic</v>
      </c>
      <c r="D15" t="str">
        <f t="shared" ca="1" si="1"/>
        <v>LATAM</v>
      </c>
      <c r="E15" t="str">
        <f t="shared" ca="1" si="2"/>
        <v>Referral</v>
      </c>
      <c r="F15" t="str">
        <f t="shared" ca="1" si="3"/>
        <v>Active</v>
      </c>
      <c r="G15" s="2">
        <f t="shared" ca="1" si="4"/>
        <v>40</v>
      </c>
      <c r="H15">
        <f t="shared" ca="1" si="5"/>
        <v>20</v>
      </c>
      <c r="I15" t="str">
        <f t="shared" ca="1" si="6"/>
        <v/>
      </c>
    </row>
    <row r="16" spans="1:9" x14ac:dyDescent="0.3">
      <c r="A16" t="s">
        <v>23</v>
      </c>
      <c r="B16" s="1">
        <f t="shared" ca="1" si="7"/>
        <v>45139</v>
      </c>
      <c r="C16" t="str">
        <f t="shared" ca="1" si="0"/>
        <v>Basic</v>
      </c>
      <c r="D16" t="str">
        <f t="shared" ca="1" si="1"/>
        <v>APAC</v>
      </c>
      <c r="E16" t="str">
        <f t="shared" ca="1" si="2"/>
        <v>Organic</v>
      </c>
      <c r="F16" t="str">
        <f t="shared" ca="1" si="3"/>
        <v>Active</v>
      </c>
      <c r="G16" s="2">
        <f t="shared" ca="1" si="4"/>
        <v>35</v>
      </c>
      <c r="H16">
        <f t="shared" ca="1" si="5"/>
        <v>12</v>
      </c>
      <c r="I16" t="str">
        <f t="shared" ca="1" si="6"/>
        <v/>
      </c>
    </row>
    <row r="17" spans="1:9" x14ac:dyDescent="0.3">
      <c r="A17" t="s">
        <v>24</v>
      </c>
      <c r="B17" s="1">
        <f t="shared" ca="1" si="7"/>
        <v>45108</v>
      </c>
      <c r="C17" t="str">
        <f t="shared" ca="1" si="0"/>
        <v>Standard</v>
      </c>
      <c r="D17" t="str">
        <f t="shared" ca="1" si="1"/>
        <v>LATAM</v>
      </c>
      <c r="E17" t="str">
        <f t="shared" ca="1" si="2"/>
        <v>Referral</v>
      </c>
      <c r="F17" t="str">
        <f t="shared" ca="1" si="3"/>
        <v>Active</v>
      </c>
      <c r="G17" s="2">
        <f t="shared" ca="1" si="4"/>
        <v>80</v>
      </c>
      <c r="H17">
        <f t="shared" ca="1" si="5"/>
        <v>2</v>
      </c>
      <c r="I17" t="str">
        <f t="shared" ca="1" si="6"/>
        <v/>
      </c>
    </row>
    <row r="18" spans="1:9" x14ac:dyDescent="0.3">
      <c r="A18" t="s">
        <v>25</v>
      </c>
      <c r="B18" s="1">
        <f t="shared" ca="1" si="7"/>
        <v>45231</v>
      </c>
      <c r="C18" t="str">
        <f t="shared" ca="1" si="0"/>
        <v>Basic</v>
      </c>
      <c r="D18" t="str">
        <f t="shared" ca="1" si="1"/>
        <v>LATAM</v>
      </c>
      <c r="E18" t="str">
        <f t="shared" ca="1" si="2"/>
        <v>Ads</v>
      </c>
      <c r="F18" t="str">
        <f t="shared" ca="1" si="3"/>
        <v>Active</v>
      </c>
      <c r="G18" s="2">
        <f t="shared" ca="1" si="4"/>
        <v>36</v>
      </c>
      <c r="H18">
        <f t="shared" ca="1" si="5"/>
        <v>3</v>
      </c>
      <c r="I18" t="str">
        <f t="shared" ca="1" si="6"/>
        <v/>
      </c>
    </row>
    <row r="19" spans="1:9" x14ac:dyDescent="0.3">
      <c r="A19" t="s">
        <v>26</v>
      </c>
      <c r="B19" s="1">
        <f t="shared" ca="1" si="7"/>
        <v>45231</v>
      </c>
      <c r="C19" t="str">
        <f t="shared" ca="1" si="0"/>
        <v>Premium</v>
      </c>
      <c r="D19" t="str">
        <f t="shared" ca="1" si="1"/>
        <v>APAC</v>
      </c>
      <c r="E19" t="str">
        <f t="shared" ca="1" si="2"/>
        <v>Organic</v>
      </c>
      <c r="F19" t="str">
        <f t="shared" ca="1" si="3"/>
        <v>Active</v>
      </c>
      <c r="G19" s="2">
        <f t="shared" ca="1" si="4"/>
        <v>141</v>
      </c>
      <c r="H19">
        <f t="shared" ca="1" si="5"/>
        <v>18</v>
      </c>
      <c r="I19" t="str">
        <f t="shared" ca="1" si="6"/>
        <v/>
      </c>
    </row>
    <row r="20" spans="1:9" x14ac:dyDescent="0.3">
      <c r="A20" t="s">
        <v>27</v>
      </c>
      <c r="B20" s="1">
        <f t="shared" ca="1" si="7"/>
        <v>45078</v>
      </c>
      <c r="C20" t="str">
        <f t="shared" ca="1" si="0"/>
        <v>Premium</v>
      </c>
      <c r="D20" t="str">
        <f t="shared" ca="1" si="1"/>
        <v>LATAM</v>
      </c>
      <c r="E20" t="str">
        <f t="shared" ca="1" si="2"/>
        <v>Referral</v>
      </c>
      <c r="F20" t="str">
        <f t="shared" ca="1" si="3"/>
        <v>Churned</v>
      </c>
      <c r="G20" s="2">
        <f t="shared" ca="1" si="4"/>
        <v>115</v>
      </c>
      <c r="H20">
        <f t="shared" ca="1" si="5"/>
        <v>4</v>
      </c>
      <c r="I20">
        <f t="shared" ca="1" si="6"/>
        <v>2</v>
      </c>
    </row>
    <row r="21" spans="1:9" x14ac:dyDescent="0.3">
      <c r="A21" t="s">
        <v>28</v>
      </c>
      <c r="B21" s="1">
        <f t="shared" ca="1" si="7"/>
        <v>45231</v>
      </c>
      <c r="C21" t="str">
        <f t="shared" ca="1" si="0"/>
        <v>Premium</v>
      </c>
      <c r="D21" t="str">
        <f t="shared" ca="1" si="1"/>
        <v>North America</v>
      </c>
      <c r="E21" t="str">
        <f t="shared" ca="1" si="2"/>
        <v>Partner</v>
      </c>
      <c r="F21" t="str">
        <f t="shared" ca="1" si="3"/>
        <v>Active</v>
      </c>
      <c r="G21" s="2">
        <f t="shared" ca="1" si="4"/>
        <v>104</v>
      </c>
      <c r="H21">
        <f t="shared" ca="1" si="5"/>
        <v>6</v>
      </c>
      <c r="I21" t="str">
        <f t="shared" ca="1" si="6"/>
        <v/>
      </c>
    </row>
    <row r="22" spans="1:9" x14ac:dyDescent="0.3">
      <c r="A22" t="s">
        <v>29</v>
      </c>
      <c r="B22" s="1">
        <f t="shared" ca="1" si="7"/>
        <v>44986</v>
      </c>
      <c r="C22" t="str">
        <f t="shared" ca="1" si="0"/>
        <v>Premium</v>
      </c>
      <c r="D22" t="str">
        <f t="shared" ca="1" si="1"/>
        <v>Europe</v>
      </c>
      <c r="E22" t="str">
        <f t="shared" ca="1" si="2"/>
        <v>Partner</v>
      </c>
      <c r="F22" t="str">
        <f t="shared" ca="1" si="3"/>
        <v>Active</v>
      </c>
      <c r="G22" s="2">
        <f t="shared" ca="1" si="4"/>
        <v>101</v>
      </c>
      <c r="H22">
        <f t="shared" ca="1" si="5"/>
        <v>16</v>
      </c>
      <c r="I22" t="str">
        <f t="shared" ca="1" si="6"/>
        <v/>
      </c>
    </row>
    <row r="23" spans="1:9" x14ac:dyDescent="0.3">
      <c r="A23" t="s">
        <v>30</v>
      </c>
      <c r="B23" s="1">
        <f t="shared" ca="1" si="7"/>
        <v>45139</v>
      </c>
      <c r="C23" t="str">
        <f t="shared" ca="1" si="0"/>
        <v>Basic</v>
      </c>
      <c r="D23" t="str">
        <f t="shared" ca="1" si="1"/>
        <v>APAC</v>
      </c>
      <c r="E23" t="str">
        <f t="shared" ca="1" si="2"/>
        <v>Partner</v>
      </c>
      <c r="F23" t="str">
        <f t="shared" ca="1" si="3"/>
        <v>Active</v>
      </c>
      <c r="G23" s="2">
        <f t="shared" ca="1" si="4"/>
        <v>33</v>
      </c>
      <c r="H23">
        <f t="shared" ca="1" si="5"/>
        <v>19</v>
      </c>
      <c r="I23" t="str">
        <f t="shared" ca="1" si="6"/>
        <v/>
      </c>
    </row>
    <row r="24" spans="1:9" x14ac:dyDescent="0.3">
      <c r="A24" t="s">
        <v>31</v>
      </c>
      <c r="B24" s="1">
        <f t="shared" ca="1" si="7"/>
        <v>45231</v>
      </c>
      <c r="C24" t="str">
        <f t="shared" ca="1" si="0"/>
        <v>Basic</v>
      </c>
      <c r="D24" t="str">
        <f t="shared" ca="1" si="1"/>
        <v>North America</v>
      </c>
      <c r="E24" t="str">
        <f t="shared" ca="1" si="2"/>
        <v>Ads</v>
      </c>
      <c r="F24" t="str">
        <f t="shared" ca="1" si="3"/>
        <v>Active</v>
      </c>
      <c r="G24" s="2">
        <f t="shared" ca="1" si="4"/>
        <v>37</v>
      </c>
      <c r="H24">
        <f t="shared" ca="1" si="5"/>
        <v>22</v>
      </c>
      <c r="I24" t="str">
        <f t="shared" ca="1" si="6"/>
        <v/>
      </c>
    </row>
    <row r="25" spans="1:9" x14ac:dyDescent="0.3">
      <c r="A25" t="s">
        <v>32</v>
      </c>
      <c r="B25" s="1">
        <f t="shared" ca="1" si="7"/>
        <v>45170</v>
      </c>
      <c r="C25" t="str">
        <f t="shared" ca="1" si="0"/>
        <v>Standard</v>
      </c>
      <c r="D25" t="str">
        <f t="shared" ca="1" si="1"/>
        <v>APAC</v>
      </c>
      <c r="E25" t="str">
        <f t="shared" ca="1" si="2"/>
        <v>Organic</v>
      </c>
      <c r="F25" t="str">
        <f t="shared" ca="1" si="3"/>
        <v>Active</v>
      </c>
      <c r="G25" s="2">
        <f t="shared" ca="1" si="4"/>
        <v>59</v>
      </c>
      <c r="H25">
        <f t="shared" ca="1" si="5"/>
        <v>13</v>
      </c>
      <c r="I25" t="str">
        <f t="shared" ca="1" si="6"/>
        <v/>
      </c>
    </row>
    <row r="26" spans="1:9" x14ac:dyDescent="0.3">
      <c r="A26" t="s">
        <v>33</v>
      </c>
      <c r="B26" s="1">
        <f t="shared" ca="1" si="7"/>
        <v>44986</v>
      </c>
      <c r="C26" t="str">
        <f t="shared" ca="1" si="0"/>
        <v>Standard</v>
      </c>
      <c r="D26" t="str">
        <f t="shared" ca="1" si="1"/>
        <v>North America</v>
      </c>
      <c r="E26" t="str">
        <f t="shared" ca="1" si="2"/>
        <v>Referral</v>
      </c>
      <c r="F26" t="str">
        <f t="shared" ca="1" si="3"/>
        <v>Churned</v>
      </c>
      <c r="G26" s="2">
        <f t="shared" ca="1" si="4"/>
        <v>69</v>
      </c>
      <c r="H26">
        <f t="shared" ca="1" si="5"/>
        <v>3</v>
      </c>
      <c r="I26">
        <f t="shared" ca="1" si="6"/>
        <v>3</v>
      </c>
    </row>
    <row r="27" spans="1:9" x14ac:dyDescent="0.3">
      <c r="A27" t="s">
        <v>34</v>
      </c>
      <c r="B27" s="1">
        <f t="shared" ca="1" si="7"/>
        <v>45261</v>
      </c>
      <c r="C27" t="str">
        <f t="shared" ca="1" si="0"/>
        <v>Basic</v>
      </c>
      <c r="D27" t="str">
        <f t="shared" ca="1" si="1"/>
        <v>North America</v>
      </c>
      <c r="E27" t="str">
        <f t="shared" ca="1" si="2"/>
        <v>Referral</v>
      </c>
      <c r="F27" t="str">
        <f t="shared" ca="1" si="3"/>
        <v>Churned</v>
      </c>
      <c r="G27" s="2">
        <f t="shared" ca="1" si="4"/>
        <v>33</v>
      </c>
      <c r="H27">
        <f t="shared" ca="1" si="5"/>
        <v>7</v>
      </c>
      <c r="I27">
        <f t="shared" ca="1" si="6"/>
        <v>3</v>
      </c>
    </row>
    <row r="28" spans="1:9" x14ac:dyDescent="0.3">
      <c r="A28" t="s">
        <v>35</v>
      </c>
      <c r="B28" s="1">
        <f t="shared" ca="1" si="7"/>
        <v>45139</v>
      </c>
      <c r="C28" t="str">
        <f t="shared" ca="1" si="0"/>
        <v>Basic</v>
      </c>
      <c r="D28" t="str">
        <f t="shared" ca="1" si="1"/>
        <v>APAC</v>
      </c>
      <c r="E28" t="str">
        <f t="shared" ca="1" si="2"/>
        <v>Referral</v>
      </c>
      <c r="F28" t="str">
        <f t="shared" ca="1" si="3"/>
        <v>Active</v>
      </c>
      <c r="G28" s="2">
        <f t="shared" ca="1" si="4"/>
        <v>29</v>
      </c>
      <c r="H28">
        <f t="shared" ca="1" si="5"/>
        <v>24</v>
      </c>
      <c r="I28" t="str">
        <f t="shared" ca="1" si="6"/>
        <v/>
      </c>
    </row>
    <row r="29" spans="1:9" x14ac:dyDescent="0.3">
      <c r="A29" t="s">
        <v>36</v>
      </c>
      <c r="B29" s="1">
        <f t="shared" ca="1" si="7"/>
        <v>45078</v>
      </c>
      <c r="C29" t="str">
        <f t="shared" ca="1" si="0"/>
        <v>Basic</v>
      </c>
      <c r="D29" t="str">
        <f t="shared" ca="1" si="1"/>
        <v>North America</v>
      </c>
      <c r="E29" t="str">
        <f t="shared" ca="1" si="2"/>
        <v>Referral</v>
      </c>
      <c r="F29" t="str">
        <f t="shared" ca="1" si="3"/>
        <v>Active</v>
      </c>
      <c r="G29" s="2">
        <f t="shared" ca="1" si="4"/>
        <v>24</v>
      </c>
      <c r="H29">
        <f t="shared" ca="1" si="5"/>
        <v>2</v>
      </c>
      <c r="I29" t="str">
        <f t="shared" ca="1" si="6"/>
        <v/>
      </c>
    </row>
    <row r="30" spans="1:9" x14ac:dyDescent="0.3">
      <c r="A30" t="s">
        <v>37</v>
      </c>
      <c r="B30" s="1">
        <f t="shared" ca="1" si="7"/>
        <v>45231</v>
      </c>
      <c r="C30" t="str">
        <f t="shared" ca="1" si="0"/>
        <v>Basic</v>
      </c>
      <c r="D30" t="str">
        <f t="shared" ca="1" si="1"/>
        <v>North America</v>
      </c>
      <c r="E30" t="str">
        <f t="shared" ca="1" si="2"/>
        <v>Partner</v>
      </c>
      <c r="F30" t="str">
        <f t="shared" ca="1" si="3"/>
        <v>Active</v>
      </c>
      <c r="G30" s="2">
        <f t="shared" ca="1" si="4"/>
        <v>27</v>
      </c>
      <c r="H30">
        <f t="shared" ca="1" si="5"/>
        <v>9</v>
      </c>
      <c r="I30" t="str">
        <f t="shared" ca="1" si="6"/>
        <v/>
      </c>
    </row>
    <row r="31" spans="1:9" x14ac:dyDescent="0.3">
      <c r="A31" t="s">
        <v>38</v>
      </c>
      <c r="B31" s="1">
        <f t="shared" ca="1" si="7"/>
        <v>45139</v>
      </c>
      <c r="C31" t="str">
        <f t="shared" ca="1" si="0"/>
        <v>Standard</v>
      </c>
      <c r="D31" t="str">
        <f t="shared" ca="1" si="1"/>
        <v>LATAM</v>
      </c>
      <c r="E31" t="str">
        <f t="shared" ca="1" si="2"/>
        <v>Organic</v>
      </c>
      <c r="F31" t="str">
        <f t="shared" ca="1" si="3"/>
        <v>Churned</v>
      </c>
      <c r="G31" s="2">
        <f t="shared" ca="1" si="4"/>
        <v>62</v>
      </c>
      <c r="H31">
        <f t="shared" ca="1" si="5"/>
        <v>14</v>
      </c>
      <c r="I31">
        <f t="shared" ca="1" si="6"/>
        <v>6</v>
      </c>
    </row>
    <row r="32" spans="1:9" x14ac:dyDescent="0.3">
      <c r="A32" t="s">
        <v>39</v>
      </c>
      <c r="B32" s="1">
        <f t="shared" ca="1" si="7"/>
        <v>44927</v>
      </c>
      <c r="C32" t="str">
        <f t="shared" ca="1" si="0"/>
        <v>Standard</v>
      </c>
      <c r="D32" t="str">
        <f t="shared" ca="1" si="1"/>
        <v>North America</v>
      </c>
      <c r="E32" t="str">
        <f t="shared" ca="1" si="2"/>
        <v>Organic</v>
      </c>
      <c r="F32" t="str">
        <f t="shared" ca="1" si="3"/>
        <v>Active</v>
      </c>
      <c r="G32" s="2">
        <f t="shared" ca="1" si="4"/>
        <v>75</v>
      </c>
      <c r="H32">
        <f t="shared" ca="1" si="5"/>
        <v>8</v>
      </c>
      <c r="I32" t="str">
        <f t="shared" ca="1" si="6"/>
        <v/>
      </c>
    </row>
    <row r="33" spans="1:9" x14ac:dyDescent="0.3">
      <c r="A33" t="s">
        <v>40</v>
      </c>
      <c r="B33" s="1">
        <f t="shared" ca="1" si="7"/>
        <v>45170</v>
      </c>
      <c r="C33" t="str">
        <f t="shared" ca="1" si="0"/>
        <v>Basic</v>
      </c>
      <c r="D33" t="str">
        <f t="shared" ca="1" si="1"/>
        <v>LATAM</v>
      </c>
      <c r="E33" t="str">
        <f t="shared" ca="1" si="2"/>
        <v>Organic</v>
      </c>
      <c r="F33" t="str">
        <f t="shared" ca="1" si="3"/>
        <v>Churned</v>
      </c>
      <c r="G33" s="2">
        <f t="shared" ca="1" si="4"/>
        <v>24</v>
      </c>
      <c r="H33">
        <f t="shared" ca="1" si="5"/>
        <v>18</v>
      </c>
      <c r="I33">
        <f t="shared" ca="1" si="6"/>
        <v>5</v>
      </c>
    </row>
    <row r="34" spans="1:9" x14ac:dyDescent="0.3">
      <c r="A34" t="s">
        <v>41</v>
      </c>
      <c r="B34" s="1">
        <f t="shared" ca="1" si="7"/>
        <v>45108</v>
      </c>
      <c r="C34" t="str">
        <f t="shared" ca="1" si="0"/>
        <v>Premium</v>
      </c>
      <c r="D34" t="str">
        <f t="shared" ca="1" si="1"/>
        <v>Europe</v>
      </c>
      <c r="E34" t="str">
        <f t="shared" ca="1" si="2"/>
        <v>Ads</v>
      </c>
      <c r="F34" t="str">
        <f t="shared" ca="1" si="3"/>
        <v>Active</v>
      </c>
      <c r="G34" s="2">
        <f t="shared" ca="1" si="4"/>
        <v>129</v>
      </c>
      <c r="H34">
        <f t="shared" ca="1" si="5"/>
        <v>16</v>
      </c>
      <c r="I34" t="str">
        <f t="shared" ca="1" si="6"/>
        <v/>
      </c>
    </row>
    <row r="35" spans="1:9" x14ac:dyDescent="0.3">
      <c r="A35" t="s">
        <v>42</v>
      </c>
      <c r="B35" s="1">
        <f t="shared" ca="1" si="7"/>
        <v>45261</v>
      </c>
      <c r="C35" t="str">
        <f t="shared" ca="1" si="0"/>
        <v>Basic</v>
      </c>
      <c r="D35" t="str">
        <f t="shared" ca="1" si="1"/>
        <v>Europe</v>
      </c>
      <c r="E35" t="str">
        <f t="shared" ca="1" si="2"/>
        <v>Organic</v>
      </c>
      <c r="F35" t="str">
        <f t="shared" ca="1" si="3"/>
        <v>Active</v>
      </c>
      <c r="G35" s="2">
        <f t="shared" ca="1" si="4"/>
        <v>27</v>
      </c>
      <c r="H35">
        <f t="shared" ca="1" si="5"/>
        <v>1</v>
      </c>
      <c r="I35" t="str">
        <f t="shared" ca="1" si="6"/>
        <v/>
      </c>
    </row>
    <row r="36" spans="1:9" x14ac:dyDescent="0.3">
      <c r="A36" t="s">
        <v>43</v>
      </c>
      <c r="B36" s="1">
        <f t="shared" ca="1" si="7"/>
        <v>45170</v>
      </c>
      <c r="C36" t="str">
        <f t="shared" ca="1" si="0"/>
        <v>Premium</v>
      </c>
      <c r="D36" t="str">
        <f t="shared" ca="1" si="1"/>
        <v>APAC</v>
      </c>
      <c r="E36" t="str">
        <f t="shared" ca="1" si="2"/>
        <v>Ads</v>
      </c>
      <c r="F36" t="str">
        <f t="shared" ca="1" si="3"/>
        <v>Active</v>
      </c>
      <c r="G36" s="2">
        <f t="shared" ca="1" si="4"/>
        <v>119</v>
      </c>
      <c r="H36">
        <f t="shared" ca="1" si="5"/>
        <v>7</v>
      </c>
      <c r="I36" t="str">
        <f t="shared" ca="1" si="6"/>
        <v/>
      </c>
    </row>
    <row r="37" spans="1:9" x14ac:dyDescent="0.3">
      <c r="A37" t="s">
        <v>44</v>
      </c>
      <c r="B37" s="1">
        <f t="shared" ca="1" si="7"/>
        <v>45200</v>
      </c>
      <c r="C37" t="str">
        <f t="shared" ca="1" si="0"/>
        <v>Standard</v>
      </c>
      <c r="D37" t="str">
        <f t="shared" ca="1" si="1"/>
        <v>North America</v>
      </c>
      <c r="E37" t="str">
        <f t="shared" ca="1" si="2"/>
        <v>Organic</v>
      </c>
      <c r="F37" t="str">
        <f t="shared" ca="1" si="3"/>
        <v>Churned</v>
      </c>
      <c r="G37" s="2">
        <f t="shared" ca="1" si="4"/>
        <v>58</v>
      </c>
      <c r="H37">
        <f t="shared" ca="1" si="5"/>
        <v>13</v>
      </c>
      <c r="I37">
        <f t="shared" ca="1" si="6"/>
        <v>1</v>
      </c>
    </row>
    <row r="38" spans="1:9" x14ac:dyDescent="0.3">
      <c r="A38" t="s">
        <v>45</v>
      </c>
      <c r="B38" s="1">
        <f t="shared" ca="1" si="7"/>
        <v>45200</v>
      </c>
      <c r="C38" t="str">
        <f t="shared" ca="1" si="0"/>
        <v>Basic</v>
      </c>
      <c r="D38" t="str">
        <f t="shared" ca="1" si="1"/>
        <v>North America</v>
      </c>
      <c r="E38" t="str">
        <f t="shared" ca="1" si="2"/>
        <v>Referral</v>
      </c>
      <c r="F38" t="str">
        <f t="shared" ca="1" si="3"/>
        <v>Active</v>
      </c>
      <c r="G38" s="2">
        <f t="shared" ca="1" si="4"/>
        <v>24</v>
      </c>
      <c r="H38">
        <f t="shared" ca="1" si="5"/>
        <v>1</v>
      </c>
      <c r="I38" t="str">
        <f t="shared" ca="1" si="6"/>
        <v/>
      </c>
    </row>
    <row r="39" spans="1:9" x14ac:dyDescent="0.3">
      <c r="A39" t="s">
        <v>46</v>
      </c>
      <c r="B39" s="1">
        <f t="shared" ca="1" si="7"/>
        <v>45047</v>
      </c>
      <c r="C39" t="str">
        <f t="shared" ca="1" si="0"/>
        <v>Premium</v>
      </c>
      <c r="D39" t="str">
        <f t="shared" ca="1" si="1"/>
        <v>North America</v>
      </c>
      <c r="E39" t="str">
        <f t="shared" ca="1" si="2"/>
        <v>Partner</v>
      </c>
      <c r="F39" t="str">
        <f t="shared" ca="1" si="3"/>
        <v>Churned</v>
      </c>
      <c r="G39" s="2">
        <f t="shared" ca="1" si="4"/>
        <v>120</v>
      </c>
      <c r="H39">
        <f t="shared" ca="1" si="5"/>
        <v>3</v>
      </c>
      <c r="I39">
        <f t="shared" ca="1" si="6"/>
        <v>2</v>
      </c>
    </row>
    <row r="40" spans="1:9" x14ac:dyDescent="0.3">
      <c r="A40" t="s">
        <v>47</v>
      </c>
      <c r="B40" s="1">
        <f t="shared" ca="1" si="7"/>
        <v>45047</v>
      </c>
      <c r="C40" t="str">
        <f t="shared" ca="1" si="0"/>
        <v>Premium</v>
      </c>
      <c r="D40" t="str">
        <f t="shared" ca="1" si="1"/>
        <v>Europe</v>
      </c>
      <c r="E40" t="str">
        <f t="shared" ca="1" si="2"/>
        <v>Partner</v>
      </c>
      <c r="F40" t="str">
        <f t="shared" ca="1" si="3"/>
        <v>Active</v>
      </c>
      <c r="G40" s="2">
        <f t="shared" ca="1" si="4"/>
        <v>145</v>
      </c>
      <c r="H40">
        <f t="shared" ca="1" si="5"/>
        <v>23</v>
      </c>
      <c r="I40" t="str">
        <f t="shared" ca="1" si="6"/>
        <v/>
      </c>
    </row>
    <row r="41" spans="1:9" x14ac:dyDescent="0.3">
      <c r="A41" t="s">
        <v>48</v>
      </c>
      <c r="B41" s="1">
        <f t="shared" ca="1" si="7"/>
        <v>44958</v>
      </c>
      <c r="C41" t="str">
        <f t="shared" ca="1" si="0"/>
        <v>Basic</v>
      </c>
      <c r="D41" t="str">
        <f t="shared" ca="1" si="1"/>
        <v>North America</v>
      </c>
      <c r="E41" t="str">
        <f t="shared" ca="1" si="2"/>
        <v>Partner</v>
      </c>
      <c r="F41" t="str">
        <f t="shared" ca="1" si="3"/>
        <v>Active</v>
      </c>
      <c r="G41" s="2">
        <f t="shared" ca="1" si="4"/>
        <v>21</v>
      </c>
      <c r="H41">
        <f t="shared" ca="1" si="5"/>
        <v>20</v>
      </c>
      <c r="I41" t="str">
        <f t="shared" ca="1" si="6"/>
        <v/>
      </c>
    </row>
    <row r="42" spans="1:9" x14ac:dyDescent="0.3">
      <c r="A42" t="s">
        <v>49</v>
      </c>
      <c r="B42" s="1">
        <f t="shared" ca="1" si="7"/>
        <v>44958</v>
      </c>
      <c r="C42" t="str">
        <f t="shared" ca="1" si="0"/>
        <v>Premium</v>
      </c>
      <c r="D42" t="str">
        <f t="shared" ca="1" si="1"/>
        <v>Europe</v>
      </c>
      <c r="E42" t="str">
        <f t="shared" ca="1" si="2"/>
        <v>Ads</v>
      </c>
      <c r="F42" t="str">
        <f t="shared" ca="1" si="3"/>
        <v>Churned</v>
      </c>
      <c r="G42" s="2">
        <f t="shared" ca="1" si="4"/>
        <v>104</v>
      </c>
      <c r="H42">
        <f t="shared" ca="1" si="5"/>
        <v>18</v>
      </c>
      <c r="I42">
        <f t="shared" ca="1" si="6"/>
        <v>15</v>
      </c>
    </row>
    <row r="43" spans="1:9" x14ac:dyDescent="0.3">
      <c r="A43" t="s">
        <v>50</v>
      </c>
      <c r="B43" s="1">
        <f t="shared" ca="1" si="7"/>
        <v>45139</v>
      </c>
      <c r="C43" t="str">
        <f t="shared" ca="1" si="0"/>
        <v>Standard</v>
      </c>
      <c r="D43" t="str">
        <f t="shared" ca="1" si="1"/>
        <v>LATAM</v>
      </c>
      <c r="E43" t="str">
        <f t="shared" ca="1" si="2"/>
        <v>Partner</v>
      </c>
      <c r="F43" t="str">
        <f t="shared" ca="1" si="3"/>
        <v>Churned</v>
      </c>
      <c r="G43" s="2">
        <f t="shared" ca="1" si="4"/>
        <v>53</v>
      </c>
      <c r="H43">
        <f t="shared" ca="1" si="5"/>
        <v>3</v>
      </c>
      <c r="I43">
        <f t="shared" ca="1" si="6"/>
        <v>3</v>
      </c>
    </row>
    <row r="44" spans="1:9" x14ac:dyDescent="0.3">
      <c r="A44" t="s">
        <v>51</v>
      </c>
      <c r="B44" s="1">
        <f t="shared" ca="1" si="7"/>
        <v>45170</v>
      </c>
      <c r="C44" t="str">
        <f t="shared" ca="1" si="0"/>
        <v>Standard</v>
      </c>
      <c r="D44" t="str">
        <f t="shared" ca="1" si="1"/>
        <v>Europe</v>
      </c>
      <c r="E44" t="str">
        <f t="shared" ca="1" si="2"/>
        <v>Partner</v>
      </c>
      <c r="F44" t="str">
        <f t="shared" ca="1" si="3"/>
        <v>Churned</v>
      </c>
      <c r="G44" s="2">
        <f t="shared" ca="1" si="4"/>
        <v>80</v>
      </c>
      <c r="H44">
        <f t="shared" ca="1" si="5"/>
        <v>18</v>
      </c>
      <c r="I44">
        <f t="shared" ca="1" si="6"/>
        <v>10</v>
      </c>
    </row>
    <row r="45" spans="1:9" x14ac:dyDescent="0.3">
      <c r="A45" t="s">
        <v>52</v>
      </c>
      <c r="B45" s="1">
        <f t="shared" ca="1" si="7"/>
        <v>44986</v>
      </c>
      <c r="C45" t="str">
        <f t="shared" ca="1" si="0"/>
        <v>Standard</v>
      </c>
      <c r="D45" t="str">
        <f t="shared" ca="1" si="1"/>
        <v>North America</v>
      </c>
      <c r="E45" t="str">
        <f t="shared" ca="1" si="2"/>
        <v>Ads</v>
      </c>
      <c r="F45" t="str">
        <f t="shared" ca="1" si="3"/>
        <v>Active</v>
      </c>
      <c r="G45" s="2">
        <f t="shared" ca="1" si="4"/>
        <v>78</v>
      </c>
      <c r="H45">
        <f t="shared" ca="1" si="5"/>
        <v>1</v>
      </c>
      <c r="I45" t="str">
        <f t="shared" ca="1" si="6"/>
        <v/>
      </c>
    </row>
    <row r="46" spans="1:9" x14ac:dyDescent="0.3">
      <c r="A46" t="s">
        <v>53</v>
      </c>
      <c r="B46" s="1">
        <f t="shared" ca="1" si="7"/>
        <v>44986</v>
      </c>
      <c r="C46" t="str">
        <f t="shared" ca="1" si="0"/>
        <v>Standard</v>
      </c>
      <c r="D46" t="str">
        <f t="shared" ca="1" si="1"/>
        <v>North America</v>
      </c>
      <c r="E46" t="str">
        <f t="shared" ca="1" si="2"/>
        <v>Ads</v>
      </c>
      <c r="F46" t="str">
        <f t="shared" ca="1" si="3"/>
        <v>Active</v>
      </c>
      <c r="G46" s="2">
        <f t="shared" ca="1" si="4"/>
        <v>77</v>
      </c>
      <c r="H46">
        <f t="shared" ca="1" si="5"/>
        <v>3</v>
      </c>
      <c r="I46" t="str">
        <f t="shared" ca="1" si="6"/>
        <v/>
      </c>
    </row>
    <row r="47" spans="1:9" x14ac:dyDescent="0.3">
      <c r="A47" t="s">
        <v>54</v>
      </c>
      <c r="B47" s="1">
        <f t="shared" ca="1" si="7"/>
        <v>45200</v>
      </c>
      <c r="C47" t="str">
        <f t="shared" ca="1" si="0"/>
        <v>Standard</v>
      </c>
      <c r="D47" t="str">
        <f t="shared" ca="1" si="1"/>
        <v>APAC</v>
      </c>
      <c r="E47" t="str">
        <f t="shared" ca="1" si="2"/>
        <v>Organic</v>
      </c>
      <c r="F47" t="str">
        <f t="shared" ca="1" si="3"/>
        <v>Active</v>
      </c>
      <c r="G47" s="2">
        <f t="shared" ca="1" si="4"/>
        <v>73</v>
      </c>
      <c r="H47">
        <f t="shared" ca="1" si="5"/>
        <v>19</v>
      </c>
      <c r="I47" t="str">
        <f t="shared" ca="1" si="6"/>
        <v/>
      </c>
    </row>
    <row r="48" spans="1:9" x14ac:dyDescent="0.3">
      <c r="A48" t="s">
        <v>55</v>
      </c>
      <c r="B48" s="1">
        <f t="shared" ca="1" si="7"/>
        <v>45261</v>
      </c>
      <c r="C48" t="str">
        <f t="shared" ca="1" si="0"/>
        <v>Premium</v>
      </c>
      <c r="D48" t="str">
        <f t="shared" ca="1" si="1"/>
        <v>Europe</v>
      </c>
      <c r="E48" t="str">
        <f t="shared" ca="1" si="2"/>
        <v>Organic</v>
      </c>
      <c r="F48" t="str">
        <f t="shared" ca="1" si="3"/>
        <v>Active</v>
      </c>
      <c r="G48" s="2">
        <f t="shared" ca="1" si="4"/>
        <v>101</v>
      </c>
      <c r="H48">
        <f t="shared" ca="1" si="5"/>
        <v>24</v>
      </c>
      <c r="I48" t="str">
        <f t="shared" ca="1" si="6"/>
        <v/>
      </c>
    </row>
    <row r="49" spans="1:9" x14ac:dyDescent="0.3">
      <c r="A49" t="s">
        <v>56</v>
      </c>
      <c r="B49" s="1">
        <f t="shared" ca="1" si="7"/>
        <v>44958</v>
      </c>
      <c r="C49" t="str">
        <f t="shared" ca="1" si="0"/>
        <v>Standard</v>
      </c>
      <c r="D49" t="str">
        <f t="shared" ca="1" si="1"/>
        <v>APAC</v>
      </c>
      <c r="E49" t="str">
        <f t="shared" ca="1" si="2"/>
        <v>Ads</v>
      </c>
      <c r="F49" t="str">
        <f t="shared" ca="1" si="3"/>
        <v>Active</v>
      </c>
      <c r="G49" s="2">
        <f t="shared" ca="1" si="4"/>
        <v>59</v>
      </c>
      <c r="H49">
        <f t="shared" ca="1" si="5"/>
        <v>20</v>
      </c>
      <c r="I49" t="str">
        <f t="shared" ca="1" si="6"/>
        <v/>
      </c>
    </row>
    <row r="50" spans="1:9" x14ac:dyDescent="0.3">
      <c r="A50" t="s">
        <v>57</v>
      </c>
      <c r="B50" s="1">
        <f t="shared" ca="1" si="7"/>
        <v>44958</v>
      </c>
      <c r="C50" t="str">
        <f t="shared" ca="1" si="0"/>
        <v>Premium</v>
      </c>
      <c r="D50" t="str">
        <f t="shared" ca="1" si="1"/>
        <v>North America</v>
      </c>
      <c r="E50" t="str">
        <f t="shared" ca="1" si="2"/>
        <v>Partner</v>
      </c>
      <c r="F50" t="str">
        <f t="shared" ca="1" si="3"/>
        <v>Churned</v>
      </c>
      <c r="G50" s="2">
        <f t="shared" ca="1" si="4"/>
        <v>111</v>
      </c>
      <c r="H50">
        <f t="shared" ca="1" si="5"/>
        <v>13</v>
      </c>
      <c r="I50">
        <f t="shared" ca="1" si="6"/>
        <v>3</v>
      </c>
    </row>
    <row r="51" spans="1:9" x14ac:dyDescent="0.3">
      <c r="A51" t="s">
        <v>58</v>
      </c>
      <c r="B51" s="1">
        <f t="shared" ca="1" si="7"/>
        <v>45108</v>
      </c>
      <c r="C51" t="str">
        <f t="shared" ca="1" si="0"/>
        <v>Standard</v>
      </c>
      <c r="D51" t="str">
        <f t="shared" ca="1" si="1"/>
        <v>Europe</v>
      </c>
      <c r="E51" t="str">
        <f t="shared" ca="1" si="2"/>
        <v>Ads</v>
      </c>
      <c r="F51" t="str">
        <f t="shared" ca="1" si="3"/>
        <v>Churned</v>
      </c>
      <c r="G51" s="2">
        <f t="shared" ca="1" si="4"/>
        <v>53</v>
      </c>
      <c r="H51">
        <f t="shared" ca="1" si="5"/>
        <v>5</v>
      </c>
      <c r="I51">
        <f t="shared" ca="1" si="6"/>
        <v>2</v>
      </c>
    </row>
    <row r="52" spans="1:9" x14ac:dyDescent="0.3">
      <c r="A52" t="s">
        <v>59</v>
      </c>
      <c r="B52" s="1">
        <f t="shared" ca="1" si="7"/>
        <v>45139</v>
      </c>
      <c r="C52" t="str">
        <f t="shared" ca="1" si="0"/>
        <v>Premium</v>
      </c>
      <c r="D52" t="str">
        <f t="shared" ca="1" si="1"/>
        <v>APAC</v>
      </c>
      <c r="E52" t="str">
        <f t="shared" ca="1" si="2"/>
        <v>Organic</v>
      </c>
      <c r="F52" t="str">
        <f t="shared" ca="1" si="3"/>
        <v>Active</v>
      </c>
      <c r="G52" s="2">
        <f t="shared" ca="1" si="4"/>
        <v>123</v>
      </c>
      <c r="H52">
        <f t="shared" ca="1" si="5"/>
        <v>16</v>
      </c>
      <c r="I52" t="str">
        <f t="shared" ca="1" si="6"/>
        <v/>
      </c>
    </row>
    <row r="53" spans="1:9" x14ac:dyDescent="0.3">
      <c r="A53" t="s">
        <v>60</v>
      </c>
      <c r="B53" s="1">
        <f t="shared" ca="1" si="7"/>
        <v>45170</v>
      </c>
      <c r="C53" t="str">
        <f t="shared" ca="1" si="0"/>
        <v>Basic</v>
      </c>
      <c r="D53" t="str">
        <f t="shared" ca="1" si="1"/>
        <v>APAC</v>
      </c>
      <c r="E53" t="str">
        <f t="shared" ca="1" si="2"/>
        <v>Ads</v>
      </c>
      <c r="F53" t="str">
        <f t="shared" ca="1" si="3"/>
        <v>Active</v>
      </c>
      <c r="G53" s="2">
        <f t="shared" ca="1" si="4"/>
        <v>22</v>
      </c>
      <c r="H53">
        <f t="shared" ca="1" si="5"/>
        <v>3</v>
      </c>
      <c r="I53" t="str">
        <f t="shared" ca="1" si="6"/>
        <v/>
      </c>
    </row>
    <row r="54" spans="1:9" x14ac:dyDescent="0.3">
      <c r="A54" t="s">
        <v>61</v>
      </c>
      <c r="B54" s="1">
        <f t="shared" ca="1" si="7"/>
        <v>44958</v>
      </c>
      <c r="C54" t="str">
        <f t="shared" ca="1" si="0"/>
        <v>Standard</v>
      </c>
      <c r="D54" t="str">
        <f t="shared" ca="1" si="1"/>
        <v>Europe</v>
      </c>
      <c r="E54" t="str">
        <f t="shared" ca="1" si="2"/>
        <v>Partner</v>
      </c>
      <c r="F54" t="str">
        <f t="shared" ca="1" si="3"/>
        <v>Active</v>
      </c>
      <c r="G54" s="2">
        <f t="shared" ca="1" si="4"/>
        <v>68</v>
      </c>
      <c r="H54">
        <f t="shared" ca="1" si="5"/>
        <v>16</v>
      </c>
      <c r="I54" t="str">
        <f t="shared" ca="1" si="6"/>
        <v/>
      </c>
    </row>
    <row r="55" spans="1:9" x14ac:dyDescent="0.3">
      <c r="A55" t="s">
        <v>62</v>
      </c>
      <c r="B55" s="1">
        <f t="shared" ca="1" si="7"/>
        <v>45108</v>
      </c>
      <c r="C55" t="str">
        <f t="shared" ca="1" si="0"/>
        <v>Standard</v>
      </c>
      <c r="D55" t="str">
        <f t="shared" ca="1" si="1"/>
        <v>Europe</v>
      </c>
      <c r="E55" t="str">
        <f t="shared" ca="1" si="2"/>
        <v>Organic</v>
      </c>
      <c r="F55" t="str">
        <f t="shared" ca="1" si="3"/>
        <v>Active</v>
      </c>
      <c r="G55" s="2">
        <f t="shared" ca="1" si="4"/>
        <v>55</v>
      </c>
      <c r="H55">
        <f t="shared" ca="1" si="5"/>
        <v>6</v>
      </c>
      <c r="I55" t="str">
        <f t="shared" ca="1" si="6"/>
        <v/>
      </c>
    </row>
    <row r="56" spans="1:9" x14ac:dyDescent="0.3">
      <c r="A56" t="s">
        <v>63</v>
      </c>
      <c r="B56" s="1">
        <f t="shared" ca="1" si="7"/>
        <v>45017</v>
      </c>
      <c r="C56" t="str">
        <f t="shared" ca="1" si="0"/>
        <v>Standard</v>
      </c>
      <c r="D56" t="str">
        <f t="shared" ca="1" si="1"/>
        <v>LATAM</v>
      </c>
      <c r="E56" t="str">
        <f t="shared" ca="1" si="2"/>
        <v>Organic</v>
      </c>
      <c r="F56" t="str">
        <f t="shared" ca="1" si="3"/>
        <v>Churned</v>
      </c>
      <c r="G56" s="2">
        <f t="shared" ca="1" si="4"/>
        <v>55</v>
      </c>
      <c r="H56">
        <f t="shared" ca="1" si="5"/>
        <v>7</v>
      </c>
      <c r="I56">
        <f t="shared" ca="1" si="6"/>
        <v>1</v>
      </c>
    </row>
    <row r="57" spans="1:9" x14ac:dyDescent="0.3">
      <c r="A57" t="s">
        <v>64</v>
      </c>
      <c r="B57" s="1">
        <f t="shared" ca="1" si="7"/>
        <v>45170</v>
      </c>
      <c r="C57" t="str">
        <f t="shared" ca="1" si="0"/>
        <v>Basic</v>
      </c>
      <c r="D57" t="str">
        <f t="shared" ca="1" si="1"/>
        <v>North America</v>
      </c>
      <c r="E57" t="str">
        <f t="shared" ca="1" si="2"/>
        <v>Partner</v>
      </c>
      <c r="F57" t="str">
        <f t="shared" ca="1" si="3"/>
        <v>Active</v>
      </c>
      <c r="G57" s="2">
        <f t="shared" ca="1" si="4"/>
        <v>20</v>
      </c>
      <c r="H57">
        <f t="shared" ca="1" si="5"/>
        <v>9</v>
      </c>
      <c r="I57" t="str">
        <f t="shared" ca="1" si="6"/>
        <v/>
      </c>
    </row>
    <row r="58" spans="1:9" x14ac:dyDescent="0.3">
      <c r="A58" t="s">
        <v>65</v>
      </c>
      <c r="B58" s="1">
        <f t="shared" ca="1" si="7"/>
        <v>45047</v>
      </c>
      <c r="C58" t="str">
        <f t="shared" ca="1" si="0"/>
        <v>Basic</v>
      </c>
      <c r="D58" t="str">
        <f t="shared" ca="1" si="1"/>
        <v>LATAM</v>
      </c>
      <c r="E58" t="str">
        <f t="shared" ca="1" si="2"/>
        <v>Referral</v>
      </c>
      <c r="F58" t="str">
        <f t="shared" ca="1" si="3"/>
        <v>Active</v>
      </c>
      <c r="G58" s="2">
        <f t="shared" ca="1" si="4"/>
        <v>29</v>
      </c>
      <c r="H58">
        <f t="shared" ca="1" si="5"/>
        <v>12</v>
      </c>
      <c r="I58" t="str">
        <f t="shared" ca="1" si="6"/>
        <v/>
      </c>
    </row>
    <row r="59" spans="1:9" x14ac:dyDescent="0.3">
      <c r="A59" t="s">
        <v>66</v>
      </c>
      <c r="B59" s="1">
        <f t="shared" ca="1" si="7"/>
        <v>45047</v>
      </c>
      <c r="C59" t="str">
        <f t="shared" ca="1" si="0"/>
        <v>Standard</v>
      </c>
      <c r="D59" t="str">
        <f t="shared" ca="1" si="1"/>
        <v>LATAM</v>
      </c>
      <c r="E59" t="str">
        <f t="shared" ca="1" si="2"/>
        <v>Referral</v>
      </c>
      <c r="F59" t="str">
        <f t="shared" ca="1" si="3"/>
        <v>Active</v>
      </c>
      <c r="G59" s="2">
        <f t="shared" ca="1" si="4"/>
        <v>59</v>
      </c>
      <c r="H59">
        <f t="shared" ca="1" si="5"/>
        <v>4</v>
      </c>
      <c r="I59" t="str">
        <f t="shared" ca="1" si="6"/>
        <v/>
      </c>
    </row>
    <row r="60" spans="1:9" x14ac:dyDescent="0.3">
      <c r="A60" t="s">
        <v>67</v>
      </c>
      <c r="B60" s="1">
        <f t="shared" ca="1" si="7"/>
        <v>45231</v>
      </c>
      <c r="C60" t="str">
        <f t="shared" ca="1" si="0"/>
        <v>Premium</v>
      </c>
      <c r="D60" t="str">
        <f t="shared" ca="1" si="1"/>
        <v>APAC</v>
      </c>
      <c r="E60" t="str">
        <f t="shared" ca="1" si="2"/>
        <v>Ads</v>
      </c>
      <c r="F60" t="str">
        <f t="shared" ca="1" si="3"/>
        <v>Churned</v>
      </c>
      <c r="G60" s="2">
        <f t="shared" ca="1" si="4"/>
        <v>150</v>
      </c>
      <c r="H60">
        <f t="shared" ca="1" si="5"/>
        <v>12</v>
      </c>
      <c r="I60">
        <f t="shared" ca="1" si="6"/>
        <v>6</v>
      </c>
    </row>
    <row r="61" spans="1:9" x14ac:dyDescent="0.3">
      <c r="A61" t="s">
        <v>68</v>
      </c>
      <c r="B61" s="1">
        <f t="shared" ca="1" si="7"/>
        <v>45170</v>
      </c>
      <c r="C61" t="str">
        <f t="shared" ca="1" si="0"/>
        <v>Basic</v>
      </c>
      <c r="D61" t="str">
        <f t="shared" ca="1" si="1"/>
        <v>North America</v>
      </c>
      <c r="E61" t="str">
        <f t="shared" ca="1" si="2"/>
        <v>Organic</v>
      </c>
      <c r="F61" t="str">
        <f t="shared" ca="1" si="3"/>
        <v>Churned</v>
      </c>
      <c r="G61" s="2">
        <f t="shared" ca="1" si="4"/>
        <v>36</v>
      </c>
      <c r="H61">
        <f t="shared" ca="1" si="5"/>
        <v>2</v>
      </c>
      <c r="I61">
        <f t="shared" ca="1" si="6"/>
        <v>1</v>
      </c>
    </row>
    <row r="62" spans="1:9" x14ac:dyDescent="0.3">
      <c r="A62" t="s">
        <v>69</v>
      </c>
      <c r="B62" s="1">
        <f t="shared" ca="1" si="7"/>
        <v>45078</v>
      </c>
      <c r="C62" t="str">
        <f t="shared" ca="1" si="0"/>
        <v>Premium</v>
      </c>
      <c r="D62" t="str">
        <f t="shared" ca="1" si="1"/>
        <v>North America</v>
      </c>
      <c r="E62" t="str">
        <f t="shared" ca="1" si="2"/>
        <v>Partner</v>
      </c>
      <c r="F62" t="str">
        <f t="shared" ca="1" si="3"/>
        <v>Active</v>
      </c>
      <c r="G62" s="2">
        <f t="shared" ca="1" si="4"/>
        <v>125</v>
      </c>
      <c r="H62">
        <f t="shared" ca="1" si="5"/>
        <v>11</v>
      </c>
      <c r="I62" t="str">
        <f t="shared" ca="1" si="6"/>
        <v/>
      </c>
    </row>
    <row r="63" spans="1:9" x14ac:dyDescent="0.3">
      <c r="A63" t="s">
        <v>70</v>
      </c>
      <c r="B63" s="1">
        <f t="shared" ca="1" si="7"/>
        <v>45231</v>
      </c>
      <c r="C63" t="str">
        <f t="shared" ca="1" si="0"/>
        <v>Standard</v>
      </c>
      <c r="D63" t="str">
        <f t="shared" ca="1" si="1"/>
        <v>LATAM</v>
      </c>
      <c r="E63" t="str">
        <f t="shared" ca="1" si="2"/>
        <v>Ads</v>
      </c>
      <c r="F63" t="str">
        <f t="shared" ca="1" si="3"/>
        <v>Active</v>
      </c>
      <c r="G63" s="2">
        <f t="shared" ca="1" si="4"/>
        <v>71</v>
      </c>
      <c r="H63">
        <f t="shared" ca="1" si="5"/>
        <v>15</v>
      </c>
      <c r="I63" t="str">
        <f t="shared" ca="1" si="6"/>
        <v/>
      </c>
    </row>
    <row r="64" spans="1:9" x14ac:dyDescent="0.3">
      <c r="A64" t="s">
        <v>71</v>
      </c>
      <c r="B64" s="1">
        <f t="shared" ca="1" si="7"/>
        <v>45139</v>
      </c>
      <c r="C64" t="str">
        <f t="shared" ca="1" si="0"/>
        <v>Basic</v>
      </c>
      <c r="D64" t="str">
        <f t="shared" ca="1" si="1"/>
        <v>Europe</v>
      </c>
      <c r="E64" t="str">
        <f t="shared" ca="1" si="2"/>
        <v>Partner</v>
      </c>
      <c r="F64" t="str">
        <f t="shared" ca="1" si="3"/>
        <v>Active</v>
      </c>
      <c r="G64" s="2">
        <f t="shared" ca="1" si="4"/>
        <v>38</v>
      </c>
      <c r="H64">
        <f t="shared" ca="1" si="5"/>
        <v>15</v>
      </c>
      <c r="I64" t="str">
        <f t="shared" ca="1" si="6"/>
        <v/>
      </c>
    </row>
    <row r="65" spans="1:9" x14ac:dyDescent="0.3">
      <c r="A65" t="s">
        <v>72</v>
      </c>
      <c r="B65" s="1">
        <f t="shared" ca="1" si="7"/>
        <v>45108</v>
      </c>
      <c r="C65" t="str">
        <f t="shared" ca="1" si="0"/>
        <v>Basic</v>
      </c>
      <c r="D65" t="str">
        <f t="shared" ca="1" si="1"/>
        <v>North America</v>
      </c>
      <c r="E65" t="str">
        <f t="shared" ca="1" si="2"/>
        <v>Referral</v>
      </c>
      <c r="F65" t="str">
        <f t="shared" ca="1" si="3"/>
        <v>Active</v>
      </c>
      <c r="G65" s="2">
        <f t="shared" ca="1" si="4"/>
        <v>34</v>
      </c>
      <c r="H65">
        <f t="shared" ca="1" si="5"/>
        <v>13</v>
      </c>
      <c r="I65" t="str">
        <f t="shared" ca="1" si="6"/>
        <v/>
      </c>
    </row>
    <row r="66" spans="1:9" x14ac:dyDescent="0.3">
      <c r="A66" t="s">
        <v>73</v>
      </c>
      <c r="B66" s="1">
        <f t="shared" ca="1" si="7"/>
        <v>45139</v>
      </c>
      <c r="C66" t="str">
        <f t="shared" ca="1" si="0"/>
        <v>Basic</v>
      </c>
      <c r="D66" t="str">
        <f t="shared" ca="1" si="1"/>
        <v>Europe</v>
      </c>
      <c r="E66" t="str">
        <f t="shared" ca="1" si="2"/>
        <v>Ads</v>
      </c>
      <c r="F66" t="str">
        <f t="shared" ca="1" si="3"/>
        <v>Active</v>
      </c>
      <c r="G66" s="2">
        <f t="shared" ca="1" si="4"/>
        <v>32</v>
      </c>
      <c r="H66">
        <f t="shared" ca="1" si="5"/>
        <v>10</v>
      </c>
      <c r="I66" t="str">
        <f t="shared" ca="1" si="6"/>
        <v/>
      </c>
    </row>
    <row r="67" spans="1:9" x14ac:dyDescent="0.3">
      <c r="A67" t="s">
        <v>74</v>
      </c>
      <c r="B67" s="1">
        <f t="shared" ca="1" si="7"/>
        <v>45261</v>
      </c>
      <c r="C67" t="str">
        <f t="shared" ref="C67:C130" ca="1" si="8">CHOOSE(RANDBETWEEN(1,3),"Basic","Standard","Premium")</f>
        <v>Standard</v>
      </c>
      <c r="D67" t="str">
        <f t="shared" ref="D67:D130" ca="1" si="9">CHOOSE(RANDBETWEEN(1,4),"North America","Europe","APAC","LATAM")</f>
        <v>APAC</v>
      </c>
      <c r="E67" t="str">
        <f t="shared" ref="E67:E130" ca="1" si="10">CHOOSE(RANDBETWEEN(1,4),"Ads","Organic","Referral","Partner")</f>
        <v>Partner</v>
      </c>
      <c r="F67" t="str">
        <f t="shared" ref="F67:F130" ca="1" si="11">IF(RAND()&lt;=0.7,"Active","Churned")</f>
        <v>Active</v>
      </c>
      <c r="G67" s="2">
        <f t="shared" ref="G67:G130" ca="1" si="12">IF(C67="Basic", RANDBETWEEN(20,40),
   IF(C67="Standard", RANDBETWEEN(50,80),
   RANDBETWEEN(100,150)))</f>
        <v>79</v>
      </c>
      <c r="H67">
        <f t="shared" ref="H67:H130" ca="1" si="13">RANDBETWEEN(1,24)</f>
        <v>11</v>
      </c>
      <c r="I67" t="str">
        <f t="shared" ref="I67:I130" ca="1" si="14">IF(F67="Churned", RANDBETWEEN(1, H67), "")</f>
        <v/>
      </c>
    </row>
    <row r="68" spans="1:9" x14ac:dyDescent="0.3">
      <c r="A68" t="s">
        <v>75</v>
      </c>
      <c r="B68" s="1">
        <f t="shared" ref="B68:B131" ca="1" si="15">DATE(2023, RANDBETWEEN(1,12), 1)</f>
        <v>45139</v>
      </c>
      <c r="C68" t="str">
        <f t="shared" ca="1" si="8"/>
        <v>Premium</v>
      </c>
      <c r="D68" t="str">
        <f t="shared" ca="1" si="9"/>
        <v>North America</v>
      </c>
      <c r="E68" t="str">
        <f t="shared" ca="1" si="10"/>
        <v>Referral</v>
      </c>
      <c r="F68" t="str">
        <f t="shared" ca="1" si="11"/>
        <v>Active</v>
      </c>
      <c r="G68" s="2">
        <f t="shared" ca="1" si="12"/>
        <v>129</v>
      </c>
      <c r="H68">
        <f t="shared" ca="1" si="13"/>
        <v>5</v>
      </c>
      <c r="I68" t="str">
        <f t="shared" ca="1" si="14"/>
        <v/>
      </c>
    </row>
    <row r="69" spans="1:9" x14ac:dyDescent="0.3">
      <c r="A69" t="s">
        <v>76</v>
      </c>
      <c r="B69" s="1">
        <f t="shared" ca="1" si="15"/>
        <v>45078</v>
      </c>
      <c r="C69" t="str">
        <f t="shared" ca="1" si="8"/>
        <v>Premium</v>
      </c>
      <c r="D69" t="str">
        <f t="shared" ca="1" si="9"/>
        <v>Europe</v>
      </c>
      <c r="E69" t="str">
        <f t="shared" ca="1" si="10"/>
        <v>Referral</v>
      </c>
      <c r="F69" t="str">
        <f t="shared" ca="1" si="11"/>
        <v>Active</v>
      </c>
      <c r="G69" s="2">
        <f t="shared" ca="1" si="12"/>
        <v>115</v>
      </c>
      <c r="H69">
        <f t="shared" ca="1" si="13"/>
        <v>23</v>
      </c>
      <c r="I69" t="str">
        <f t="shared" ca="1" si="14"/>
        <v/>
      </c>
    </row>
    <row r="70" spans="1:9" x14ac:dyDescent="0.3">
      <c r="A70" t="s">
        <v>77</v>
      </c>
      <c r="B70" s="1">
        <f t="shared" ca="1" si="15"/>
        <v>45047</v>
      </c>
      <c r="C70" t="str">
        <f t="shared" ca="1" si="8"/>
        <v>Standard</v>
      </c>
      <c r="D70" t="str">
        <f t="shared" ca="1" si="9"/>
        <v>LATAM</v>
      </c>
      <c r="E70" t="str">
        <f t="shared" ca="1" si="10"/>
        <v>Partner</v>
      </c>
      <c r="F70" t="str">
        <f t="shared" ca="1" si="11"/>
        <v>Churned</v>
      </c>
      <c r="G70" s="2">
        <f t="shared" ca="1" si="12"/>
        <v>64</v>
      </c>
      <c r="H70">
        <f t="shared" ca="1" si="13"/>
        <v>14</v>
      </c>
      <c r="I70">
        <f t="shared" ca="1" si="14"/>
        <v>3</v>
      </c>
    </row>
    <row r="71" spans="1:9" x14ac:dyDescent="0.3">
      <c r="A71" t="s">
        <v>78</v>
      </c>
      <c r="B71" s="1">
        <f t="shared" ca="1" si="15"/>
        <v>45231</v>
      </c>
      <c r="C71" t="str">
        <f t="shared" ca="1" si="8"/>
        <v>Basic</v>
      </c>
      <c r="D71" t="str">
        <f t="shared" ca="1" si="9"/>
        <v>North America</v>
      </c>
      <c r="E71" t="str">
        <f t="shared" ca="1" si="10"/>
        <v>Organic</v>
      </c>
      <c r="F71" t="str">
        <f t="shared" ca="1" si="11"/>
        <v>Active</v>
      </c>
      <c r="G71" s="2">
        <f t="shared" ca="1" si="12"/>
        <v>29</v>
      </c>
      <c r="H71">
        <f t="shared" ca="1" si="13"/>
        <v>15</v>
      </c>
      <c r="I71" t="str">
        <f t="shared" ca="1" si="14"/>
        <v/>
      </c>
    </row>
    <row r="72" spans="1:9" x14ac:dyDescent="0.3">
      <c r="A72" t="s">
        <v>79</v>
      </c>
      <c r="B72" s="1">
        <f t="shared" ca="1" si="15"/>
        <v>45200</v>
      </c>
      <c r="C72" t="str">
        <f t="shared" ca="1" si="8"/>
        <v>Standard</v>
      </c>
      <c r="D72" t="str">
        <f t="shared" ca="1" si="9"/>
        <v>LATAM</v>
      </c>
      <c r="E72" t="str">
        <f t="shared" ca="1" si="10"/>
        <v>Partner</v>
      </c>
      <c r="F72" t="str">
        <f t="shared" ca="1" si="11"/>
        <v>Active</v>
      </c>
      <c r="G72" s="2">
        <f t="shared" ca="1" si="12"/>
        <v>68</v>
      </c>
      <c r="H72">
        <f t="shared" ca="1" si="13"/>
        <v>9</v>
      </c>
      <c r="I72" t="str">
        <f t="shared" ca="1" si="14"/>
        <v/>
      </c>
    </row>
    <row r="73" spans="1:9" x14ac:dyDescent="0.3">
      <c r="A73" t="s">
        <v>80</v>
      </c>
      <c r="B73" s="1">
        <f t="shared" ca="1" si="15"/>
        <v>44958</v>
      </c>
      <c r="C73" t="str">
        <f t="shared" ca="1" si="8"/>
        <v>Premium</v>
      </c>
      <c r="D73" t="str">
        <f t="shared" ca="1" si="9"/>
        <v>APAC</v>
      </c>
      <c r="E73" t="str">
        <f t="shared" ca="1" si="10"/>
        <v>Partner</v>
      </c>
      <c r="F73" t="str">
        <f t="shared" ca="1" si="11"/>
        <v>Active</v>
      </c>
      <c r="G73" s="2">
        <f t="shared" ca="1" si="12"/>
        <v>147</v>
      </c>
      <c r="H73">
        <f t="shared" ca="1" si="13"/>
        <v>19</v>
      </c>
      <c r="I73" t="str">
        <f t="shared" ca="1" si="14"/>
        <v/>
      </c>
    </row>
    <row r="74" spans="1:9" x14ac:dyDescent="0.3">
      <c r="A74" t="s">
        <v>81</v>
      </c>
      <c r="B74" s="1">
        <f t="shared" ca="1" si="15"/>
        <v>45170</v>
      </c>
      <c r="C74" t="str">
        <f t="shared" ca="1" si="8"/>
        <v>Standard</v>
      </c>
      <c r="D74" t="str">
        <f t="shared" ca="1" si="9"/>
        <v>Europe</v>
      </c>
      <c r="E74" t="str">
        <f t="shared" ca="1" si="10"/>
        <v>Referral</v>
      </c>
      <c r="F74" t="str">
        <f t="shared" ca="1" si="11"/>
        <v>Active</v>
      </c>
      <c r="G74" s="2">
        <f t="shared" ca="1" si="12"/>
        <v>55</v>
      </c>
      <c r="H74">
        <f t="shared" ca="1" si="13"/>
        <v>11</v>
      </c>
      <c r="I74" t="str">
        <f t="shared" ca="1" si="14"/>
        <v/>
      </c>
    </row>
    <row r="75" spans="1:9" x14ac:dyDescent="0.3">
      <c r="A75" t="s">
        <v>82</v>
      </c>
      <c r="B75" s="1">
        <f t="shared" ca="1" si="15"/>
        <v>45139</v>
      </c>
      <c r="C75" t="str">
        <f t="shared" ca="1" si="8"/>
        <v>Premium</v>
      </c>
      <c r="D75" t="str">
        <f t="shared" ca="1" si="9"/>
        <v>North America</v>
      </c>
      <c r="E75" t="str">
        <f t="shared" ca="1" si="10"/>
        <v>Referral</v>
      </c>
      <c r="F75" t="str">
        <f t="shared" ca="1" si="11"/>
        <v>Active</v>
      </c>
      <c r="G75" s="2">
        <f t="shared" ca="1" si="12"/>
        <v>130</v>
      </c>
      <c r="H75">
        <f t="shared" ca="1" si="13"/>
        <v>15</v>
      </c>
      <c r="I75" t="str">
        <f t="shared" ca="1" si="14"/>
        <v/>
      </c>
    </row>
    <row r="76" spans="1:9" x14ac:dyDescent="0.3">
      <c r="A76" t="s">
        <v>83</v>
      </c>
      <c r="B76" s="1">
        <f t="shared" ca="1" si="15"/>
        <v>45017</v>
      </c>
      <c r="C76" t="str">
        <f t="shared" ca="1" si="8"/>
        <v>Basic</v>
      </c>
      <c r="D76" t="str">
        <f t="shared" ca="1" si="9"/>
        <v>Europe</v>
      </c>
      <c r="E76" t="str">
        <f t="shared" ca="1" si="10"/>
        <v>Organic</v>
      </c>
      <c r="F76" t="str">
        <f t="shared" ca="1" si="11"/>
        <v>Active</v>
      </c>
      <c r="G76" s="2">
        <f t="shared" ca="1" si="12"/>
        <v>20</v>
      </c>
      <c r="H76">
        <f t="shared" ca="1" si="13"/>
        <v>10</v>
      </c>
      <c r="I76" t="str">
        <f t="shared" ca="1" si="14"/>
        <v/>
      </c>
    </row>
    <row r="77" spans="1:9" x14ac:dyDescent="0.3">
      <c r="A77" t="s">
        <v>84</v>
      </c>
      <c r="B77" s="1">
        <f t="shared" ca="1" si="15"/>
        <v>45078</v>
      </c>
      <c r="C77" t="str">
        <f t="shared" ca="1" si="8"/>
        <v>Premium</v>
      </c>
      <c r="D77" t="str">
        <f t="shared" ca="1" si="9"/>
        <v>North America</v>
      </c>
      <c r="E77" t="str">
        <f t="shared" ca="1" si="10"/>
        <v>Ads</v>
      </c>
      <c r="F77" t="str">
        <f t="shared" ca="1" si="11"/>
        <v>Active</v>
      </c>
      <c r="G77" s="2">
        <f t="shared" ca="1" si="12"/>
        <v>147</v>
      </c>
      <c r="H77">
        <f t="shared" ca="1" si="13"/>
        <v>4</v>
      </c>
      <c r="I77" t="str">
        <f t="shared" ca="1" si="14"/>
        <v/>
      </c>
    </row>
    <row r="78" spans="1:9" x14ac:dyDescent="0.3">
      <c r="A78" t="s">
        <v>85</v>
      </c>
      <c r="B78" s="1">
        <f t="shared" ca="1" si="15"/>
        <v>45078</v>
      </c>
      <c r="C78" t="str">
        <f t="shared" ca="1" si="8"/>
        <v>Standard</v>
      </c>
      <c r="D78" t="str">
        <f t="shared" ca="1" si="9"/>
        <v>LATAM</v>
      </c>
      <c r="E78" t="str">
        <f t="shared" ca="1" si="10"/>
        <v>Referral</v>
      </c>
      <c r="F78" t="str">
        <f t="shared" ca="1" si="11"/>
        <v>Active</v>
      </c>
      <c r="G78" s="2">
        <f t="shared" ca="1" si="12"/>
        <v>77</v>
      </c>
      <c r="H78">
        <f t="shared" ca="1" si="13"/>
        <v>4</v>
      </c>
      <c r="I78" t="str">
        <f t="shared" ca="1" si="14"/>
        <v/>
      </c>
    </row>
    <row r="79" spans="1:9" x14ac:dyDescent="0.3">
      <c r="A79" t="s">
        <v>86</v>
      </c>
      <c r="B79" s="1">
        <f t="shared" ca="1" si="15"/>
        <v>45170</v>
      </c>
      <c r="C79" t="str">
        <f t="shared" ca="1" si="8"/>
        <v>Premium</v>
      </c>
      <c r="D79" t="str">
        <f t="shared" ca="1" si="9"/>
        <v>North America</v>
      </c>
      <c r="E79" t="str">
        <f t="shared" ca="1" si="10"/>
        <v>Ads</v>
      </c>
      <c r="F79" t="str">
        <f t="shared" ca="1" si="11"/>
        <v>Active</v>
      </c>
      <c r="G79" s="2">
        <f t="shared" ca="1" si="12"/>
        <v>116</v>
      </c>
      <c r="H79">
        <f t="shared" ca="1" si="13"/>
        <v>10</v>
      </c>
      <c r="I79" t="str">
        <f t="shared" ca="1" si="14"/>
        <v/>
      </c>
    </row>
    <row r="80" spans="1:9" x14ac:dyDescent="0.3">
      <c r="A80" t="s">
        <v>87</v>
      </c>
      <c r="B80" s="1">
        <f t="shared" ca="1" si="15"/>
        <v>45017</v>
      </c>
      <c r="C80" t="str">
        <f t="shared" ca="1" si="8"/>
        <v>Premium</v>
      </c>
      <c r="D80" t="str">
        <f t="shared" ca="1" si="9"/>
        <v>APAC</v>
      </c>
      <c r="E80" t="str">
        <f t="shared" ca="1" si="10"/>
        <v>Organic</v>
      </c>
      <c r="F80" t="str">
        <f t="shared" ca="1" si="11"/>
        <v>Active</v>
      </c>
      <c r="G80" s="2">
        <f t="shared" ca="1" si="12"/>
        <v>127</v>
      </c>
      <c r="H80">
        <f t="shared" ca="1" si="13"/>
        <v>13</v>
      </c>
      <c r="I80" t="str">
        <f t="shared" ca="1" si="14"/>
        <v/>
      </c>
    </row>
    <row r="81" spans="1:9" x14ac:dyDescent="0.3">
      <c r="A81" t="s">
        <v>88</v>
      </c>
      <c r="B81" s="1">
        <f t="shared" ca="1" si="15"/>
        <v>45200</v>
      </c>
      <c r="C81" t="str">
        <f t="shared" ca="1" si="8"/>
        <v>Standard</v>
      </c>
      <c r="D81" t="str">
        <f t="shared" ca="1" si="9"/>
        <v>LATAM</v>
      </c>
      <c r="E81" t="str">
        <f t="shared" ca="1" si="10"/>
        <v>Organic</v>
      </c>
      <c r="F81" t="str">
        <f t="shared" ca="1" si="11"/>
        <v>Churned</v>
      </c>
      <c r="G81" s="2">
        <f t="shared" ca="1" si="12"/>
        <v>56</v>
      </c>
      <c r="H81">
        <f t="shared" ca="1" si="13"/>
        <v>16</v>
      </c>
      <c r="I81">
        <f t="shared" ca="1" si="14"/>
        <v>1</v>
      </c>
    </row>
    <row r="82" spans="1:9" x14ac:dyDescent="0.3">
      <c r="A82" t="s">
        <v>89</v>
      </c>
      <c r="B82" s="1">
        <f t="shared" ca="1" si="15"/>
        <v>44958</v>
      </c>
      <c r="C82" t="str">
        <f t="shared" ca="1" si="8"/>
        <v>Standard</v>
      </c>
      <c r="D82" t="str">
        <f t="shared" ca="1" si="9"/>
        <v>North America</v>
      </c>
      <c r="E82" t="str">
        <f t="shared" ca="1" si="10"/>
        <v>Partner</v>
      </c>
      <c r="F82" t="str">
        <f t="shared" ca="1" si="11"/>
        <v>Active</v>
      </c>
      <c r="G82" s="2">
        <f t="shared" ca="1" si="12"/>
        <v>69</v>
      </c>
      <c r="H82">
        <f t="shared" ca="1" si="13"/>
        <v>15</v>
      </c>
      <c r="I82" t="str">
        <f t="shared" ca="1" si="14"/>
        <v/>
      </c>
    </row>
    <row r="83" spans="1:9" x14ac:dyDescent="0.3">
      <c r="A83" t="s">
        <v>90</v>
      </c>
      <c r="B83" s="1">
        <f t="shared" ca="1" si="15"/>
        <v>44958</v>
      </c>
      <c r="C83" t="str">
        <f t="shared" ca="1" si="8"/>
        <v>Standard</v>
      </c>
      <c r="D83" t="str">
        <f t="shared" ca="1" si="9"/>
        <v>LATAM</v>
      </c>
      <c r="E83" t="str">
        <f t="shared" ca="1" si="10"/>
        <v>Ads</v>
      </c>
      <c r="F83" t="str">
        <f t="shared" ca="1" si="11"/>
        <v>Churned</v>
      </c>
      <c r="G83" s="2">
        <f t="shared" ca="1" si="12"/>
        <v>78</v>
      </c>
      <c r="H83">
        <f t="shared" ca="1" si="13"/>
        <v>19</v>
      </c>
      <c r="I83">
        <f t="shared" ca="1" si="14"/>
        <v>9</v>
      </c>
    </row>
    <row r="84" spans="1:9" x14ac:dyDescent="0.3">
      <c r="A84" t="s">
        <v>91</v>
      </c>
      <c r="B84" s="1">
        <f t="shared" ca="1" si="15"/>
        <v>44927</v>
      </c>
      <c r="C84" t="str">
        <f t="shared" ca="1" si="8"/>
        <v>Standard</v>
      </c>
      <c r="D84" t="str">
        <f t="shared" ca="1" si="9"/>
        <v>North America</v>
      </c>
      <c r="E84" t="str">
        <f t="shared" ca="1" si="10"/>
        <v>Organic</v>
      </c>
      <c r="F84" t="str">
        <f t="shared" ca="1" si="11"/>
        <v>Active</v>
      </c>
      <c r="G84" s="2">
        <f t="shared" ca="1" si="12"/>
        <v>63</v>
      </c>
      <c r="H84">
        <f t="shared" ca="1" si="13"/>
        <v>3</v>
      </c>
      <c r="I84" t="str">
        <f t="shared" ca="1" si="14"/>
        <v/>
      </c>
    </row>
    <row r="85" spans="1:9" x14ac:dyDescent="0.3">
      <c r="A85" t="s">
        <v>92</v>
      </c>
      <c r="B85" s="1">
        <f t="shared" ca="1" si="15"/>
        <v>45078</v>
      </c>
      <c r="C85" t="str">
        <f t="shared" ca="1" si="8"/>
        <v>Standard</v>
      </c>
      <c r="D85" t="str">
        <f t="shared" ca="1" si="9"/>
        <v>North America</v>
      </c>
      <c r="E85" t="str">
        <f t="shared" ca="1" si="10"/>
        <v>Organic</v>
      </c>
      <c r="F85" t="str">
        <f t="shared" ca="1" si="11"/>
        <v>Churned</v>
      </c>
      <c r="G85" s="2">
        <f t="shared" ca="1" si="12"/>
        <v>59</v>
      </c>
      <c r="H85">
        <f t="shared" ca="1" si="13"/>
        <v>17</v>
      </c>
      <c r="I85">
        <f t="shared" ca="1" si="14"/>
        <v>2</v>
      </c>
    </row>
    <row r="86" spans="1:9" x14ac:dyDescent="0.3">
      <c r="A86" t="s">
        <v>93</v>
      </c>
      <c r="B86" s="1">
        <f t="shared" ca="1" si="15"/>
        <v>45200</v>
      </c>
      <c r="C86" t="str">
        <f t="shared" ca="1" si="8"/>
        <v>Standard</v>
      </c>
      <c r="D86" t="str">
        <f t="shared" ca="1" si="9"/>
        <v>APAC</v>
      </c>
      <c r="E86" t="str">
        <f t="shared" ca="1" si="10"/>
        <v>Partner</v>
      </c>
      <c r="F86" t="str">
        <f t="shared" ca="1" si="11"/>
        <v>Active</v>
      </c>
      <c r="G86" s="2">
        <f t="shared" ca="1" si="12"/>
        <v>50</v>
      </c>
      <c r="H86">
        <f t="shared" ca="1" si="13"/>
        <v>1</v>
      </c>
      <c r="I86" t="str">
        <f t="shared" ca="1" si="14"/>
        <v/>
      </c>
    </row>
    <row r="87" spans="1:9" x14ac:dyDescent="0.3">
      <c r="A87" t="s">
        <v>94</v>
      </c>
      <c r="B87" s="1">
        <f t="shared" ca="1" si="15"/>
        <v>45200</v>
      </c>
      <c r="C87" t="str">
        <f t="shared" ca="1" si="8"/>
        <v>Premium</v>
      </c>
      <c r="D87" t="str">
        <f t="shared" ca="1" si="9"/>
        <v>APAC</v>
      </c>
      <c r="E87" t="str">
        <f t="shared" ca="1" si="10"/>
        <v>Referral</v>
      </c>
      <c r="F87" t="str">
        <f t="shared" ca="1" si="11"/>
        <v>Churned</v>
      </c>
      <c r="G87" s="2">
        <f t="shared" ca="1" si="12"/>
        <v>114</v>
      </c>
      <c r="H87">
        <f t="shared" ca="1" si="13"/>
        <v>9</v>
      </c>
      <c r="I87">
        <f t="shared" ca="1" si="14"/>
        <v>8</v>
      </c>
    </row>
    <row r="88" spans="1:9" x14ac:dyDescent="0.3">
      <c r="A88" t="s">
        <v>95</v>
      </c>
      <c r="B88" s="1">
        <f t="shared" ca="1" si="15"/>
        <v>45017</v>
      </c>
      <c r="C88" t="str">
        <f t="shared" ca="1" si="8"/>
        <v>Standard</v>
      </c>
      <c r="D88" t="str">
        <f t="shared" ca="1" si="9"/>
        <v>LATAM</v>
      </c>
      <c r="E88" t="str">
        <f t="shared" ca="1" si="10"/>
        <v>Partner</v>
      </c>
      <c r="F88" t="str">
        <f t="shared" ca="1" si="11"/>
        <v>Active</v>
      </c>
      <c r="G88" s="2">
        <f t="shared" ca="1" si="12"/>
        <v>55</v>
      </c>
      <c r="H88">
        <f t="shared" ca="1" si="13"/>
        <v>21</v>
      </c>
      <c r="I88" t="str">
        <f t="shared" ca="1" si="14"/>
        <v/>
      </c>
    </row>
    <row r="89" spans="1:9" x14ac:dyDescent="0.3">
      <c r="A89" t="s">
        <v>96</v>
      </c>
      <c r="B89" s="1">
        <f t="shared" ca="1" si="15"/>
        <v>45017</v>
      </c>
      <c r="C89" t="str">
        <f t="shared" ca="1" si="8"/>
        <v>Premium</v>
      </c>
      <c r="D89" t="str">
        <f t="shared" ca="1" si="9"/>
        <v>Europe</v>
      </c>
      <c r="E89" t="str">
        <f t="shared" ca="1" si="10"/>
        <v>Partner</v>
      </c>
      <c r="F89" t="str">
        <f t="shared" ca="1" si="11"/>
        <v>Active</v>
      </c>
      <c r="G89" s="2">
        <f t="shared" ca="1" si="12"/>
        <v>150</v>
      </c>
      <c r="H89">
        <f t="shared" ca="1" si="13"/>
        <v>17</v>
      </c>
      <c r="I89" t="str">
        <f t="shared" ca="1" si="14"/>
        <v/>
      </c>
    </row>
    <row r="90" spans="1:9" x14ac:dyDescent="0.3">
      <c r="A90" t="s">
        <v>97</v>
      </c>
      <c r="B90" s="1">
        <f t="shared" ca="1" si="15"/>
        <v>44958</v>
      </c>
      <c r="C90" t="str">
        <f t="shared" ca="1" si="8"/>
        <v>Premium</v>
      </c>
      <c r="D90" t="str">
        <f t="shared" ca="1" si="9"/>
        <v>LATAM</v>
      </c>
      <c r="E90" t="str">
        <f t="shared" ca="1" si="10"/>
        <v>Ads</v>
      </c>
      <c r="F90" t="str">
        <f t="shared" ca="1" si="11"/>
        <v>Active</v>
      </c>
      <c r="G90" s="2">
        <f t="shared" ca="1" si="12"/>
        <v>115</v>
      </c>
      <c r="H90">
        <f t="shared" ca="1" si="13"/>
        <v>23</v>
      </c>
      <c r="I90" t="str">
        <f t="shared" ca="1" si="14"/>
        <v/>
      </c>
    </row>
    <row r="91" spans="1:9" x14ac:dyDescent="0.3">
      <c r="A91" t="s">
        <v>98</v>
      </c>
      <c r="B91" s="1">
        <f t="shared" ca="1" si="15"/>
        <v>45200</v>
      </c>
      <c r="C91" t="str">
        <f t="shared" ca="1" si="8"/>
        <v>Basic</v>
      </c>
      <c r="D91" t="str">
        <f t="shared" ca="1" si="9"/>
        <v>North America</v>
      </c>
      <c r="E91" t="str">
        <f t="shared" ca="1" si="10"/>
        <v>Referral</v>
      </c>
      <c r="F91" t="str">
        <f t="shared" ca="1" si="11"/>
        <v>Active</v>
      </c>
      <c r="G91" s="2">
        <f t="shared" ca="1" si="12"/>
        <v>34</v>
      </c>
      <c r="H91">
        <f t="shared" ca="1" si="13"/>
        <v>21</v>
      </c>
      <c r="I91" t="str">
        <f t="shared" ca="1" si="14"/>
        <v/>
      </c>
    </row>
    <row r="92" spans="1:9" x14ac:dyDescent="0.3">
      <c r="A92" t="s">
        <v>99</v>
      </c>
      <c r="B92" s="1">
        <f t="shared" ca="1" si="15"/>
        <v>45261</v>
      </c>
      <c r="C92" t="str">
        <f t="shared" ca="1" si="8"/>
        <v>Standard</v>
      </c>
      <c r="D92" t="str">
        <f t="shared" ca="1" si="9"/>
        <v>APAC</v>
      </c>
      <c r="E92" t="str">
        <f t="shared" ca="1" si="10"/>
        <v>Ads</v>
      </c>
      <c r="F92" t="str">
        <f t="shared" ca="1" si="11"/>
        <v>Active</v>
      </c>
      <c r="G92" s="2">
        <f t="shared" ca="1" si="12"/>
        <v>54</v>
      </c>
      <c r="H92">
        <f t="shared" ca="1" si="13"/>
        <v>12</v>
      </c>
      <c r="I92" t="str">
        <f t="shared" ca="1" si="14"/>
        <v/>
      </c>
    </row>
    <row r="93" spans="1:9" x14ac:dyDescent="0.3">
      <c r="A93" t="s">
        <v>100</v>
      </c>
      <c r="B93" s="1">
        <f t="shared" ca="1" si="15"/>
        <v>45017</v>
      </c>
      <c r="C93" t="str">
        <f t="shared" ca="1" si="8"/>
        <v>Basic</v>
      </c>
      <c r="D93" t="str">
        <f t="shared" ca="1" si="9"/>
        <v>APAC</v>
      </c>
      <c r="E93" t="str">
        <f t="shared" ca="1" si="10"/>
        <v>Ads</v>
      </c>
      <c r="F93" t="str">
        <f t="shared" ca="1" si="11"/>
        <v>Active</v>
      </c>
      <c r="G93" s="2">
        <f t="shared" ca="1" si="12"/>
        <v>33</v>
      </c>
      <c r="H93">
        <f t="shared" ca="1" si="13"/>
        <v>23</v>
      </c>
      <c r="I93" t="str">
        <f t="shared" ca="1" si="14"/>
        <v/>
      </c>
    </row>
    <row r="94" spans="1:9" x14ac:dyDescent="0.3">
      <c r="A94" t="s">
        <v>101</v>
      </c>
      <c r="B94" s="1">
        <f t="shared" ca="1" si="15"/>
        <v>45200</v>
      </c>
      <c r="C94" t="str">
        <f t="shared" ca="1" si="8"/>
        <v>Premium</v>
      </c>
      <c r="D94" t="str">
        <f t="shared" ca="1" si="9"/>
        <v>APAC</v>
      </c>
      <c r="E94" t="str">
        <f t="shared" ca="1" si="10"/>
        <v>Partner</v>
      </c>
      <c r="F94" t="str">
        <f t="shared" ca="1" si="11"/>
        <v>Active</v>
      </c>
      <c r="G94" s="2">
        <f t="shared" ca="1" si="12"/>
        <v>117</v>
      </c>
      <c r="H94">
        <f t="shared" ca="1" si="13"/>
        <v>8</v>
      </c>
      <c r="I94" t="str">
        <f t="shared" ca="1" si="14"/>
        <v/>
      </c>
    </row>
    <row r="95" spans="1:9" x14ac:dyDescent="0.3">
      <c r="A95" t="s">
        <v>102</v>
      </c>
      <c r="B95" s="1">
        <f t="shared" ca="1" si="15"/>
        <v>45139</v>
      </c>
      <c r="C95" t="str">
        <f t="shared" ca="1" si="8"/>
        <v>Premium</v>
      </c>
      <c r="D95" t="str">
        <f t="shared" ca="1" si="9"/>
        <v>LATAM</v>
      </c>
      <c r="E95" t="str">
        <f t="shared" ca="1" si="10"/>
        <v>Partner</v>
      </c>
      <c r="F95" t="str">
        <f t="shared" ca="1" si="11"/>
        <v>Active</v>
      </c>
      <c r="G95" s="2">
        <f t="shared" ca="1" si="12"/>
        <v>108</v>
      </c>
      <c r="H95">
        <f t="shared" ca="1" si="13"/>
        <v>24</v>
      </c>
      <c r="I95" t="str">
        <f t="shared" ca="1" si="14"/>
        <v/>
      </c>
    </row>
    <row r="96" spans="1:9" x14ac:dyDescent="0.3">
      <c r="A96" t="s">
        <v>103</v>
      </c>
      <c r="B96" s="1">
        <f t="shared" ca="1" si="15"/>
        <v>44958</v>
      </c>
      <c r="C96" t="str">
        <f t="shared" ca="1" si="8"/>
        <v>Premium</v>
      </c>
      <c r="D96" t="str">
        <f t="shared" ca="1" si="9"/>
        <v>APAC</v>
      </c>
      <c r="E96" t="str">
        <f t="shared" ca="1" si="10"/>
        <v>Referral</v>
      </c>
      <c r="F96" t="str">
        <f t="shared" ca="1" si="11"/>
        <v>Active</v>
      </c>
      <c r="G96" s="2">
        <f t="shared" ca="1" si="12"/>
        <v>141</v>
      </c>
      <c r="H96">
        <f t="shared" ca="1" si="13"/>
        <v>20</v>
      </c>
      <c r="I96" t="str">
        <f t="shared" ca="1" si="14"/>
        <v/>
      </c>
    </row>
    <row r="97" spans="1:9" x14ac:dyDescent="0.3">
      <c r="A97" t="s">
        <v>104</v>
      </c>
      <c r="B97" s="1">
        <f t="shared" ca="1" si="15"/>
        <v>44927</v>
      </c>
      <c r="C97" t="str">
        <f t="shared" ca="1" si="8"/>
        <v>Standard</v>
      </c>
      <c r="D97" t="str">
        <f t="shared" ca="1" si="9"/>
        <v>APAC</v>
      </c>
      <c r="E97" t="str">
        <f t="shared" ca="1" si="10"/>
        <v>Referral</v>
      </c>
      <c r="F97" t="str">
        <f t="shared" ca="1" si="11"/>
        <v>Active</v>
      </c>
      <c r="G97" s="2">
        <f t="shared" ca="1" si="12"/>
        <v>68</v>
      </c>
      <c r="H97">
        <f t="shared" ca="1" si="13"/>
        <v>18</v>
      </c>
      <c r="I97" t="str">
        <f t="shared" ca="1" si="14"/>
        <v/>
      </c>
    </row>
    <row r="98" spans="1:9" x14ac:dyDescent="0.3">
      <c r="A98" t="s">
        <v>105</v>
      </c>
      <c r="B98" s="1">
        <f t="shared" ca="1" si="15"/>
        <v>44986</v>
      </c>
      <c r="C98" t="str">
        <f t="shared" ca="1" si="8"/>
        <v>Premium</v>
      </c>
      <c r="D98" t="str">
        <f t="shared" ca="1" si="9"/>
        <v>LATAM</v>
      </c>
      <c r="E98" t="str">
        <f t="shared" ca="1" si="10"/>
        <v>Partner</v>
      </c>
      <c r="F98" t="str">
        <f t="shared" ca="1" si="11"/>
        <v>Active</v>
      </c>
      <c r="G98" s="2">
        <f t="shared" ca="1" si="12"/>
        <v>147</v>
      </c>
      <c r="H98">
        <f t="shared" ca="1" si="13"/>
        <v>3</v>
      </c>
      <c r="I98" t="str">
        <f t="shared" ca="1" si="14"/>
        <v/>
      </c>
    </row>
    <row r="99" spans="1:9" x14ac:dyDescent="0.3">
      <c r="A99" t="s">
        <v>106</v>
      </c>
      <c r="B99" s="1">
        <f t="shared" ca="1" si="15"/>
        <v>45108</v>
      </c>
      <c r="C99" t="str">
        <f t="shared" ca="1" si="8"/>
        <v>Premium</v>
      </c>
      <c r="D99" t="str">
        <f t="shared" ca="1" si="9"/>
        <v>LATAM</v>
      </c>
      <c r="E99" t="str">
        <f t="shared" ca="1" si="10"/>
        <v>Ads</v>
      </c>
      <c r="F99" t="str">
        <f t="shared" ca="1" si="11"/>
        <v>Churned</v>
      </c>
      <c r="G99" s="2">
        <f t="shared" ca="1" si="12"/>
        <v>136</v>
      </c>
      <c r="H99">
        <f t="shared" ca="1" si="13"/>
        <v>19</v>
      </c>
      <c r="I99">
        <f t="shared" ca="1" si="14"/>
        <v>1</v>
      </c>
    </row>
    <row r="100" spans="1:9" x14ac:dyDescent="0.3">
      <c r="A100" t="s">
        <v>107</v>
      </c>
      <c r="B100" s="1">
        <f t="shared" ca="1" si="15"/>
        <v>44986</v>
      </c>
      <c r="C100" t="str">
        <f t="shared" ca="1" si="8"/>
        <v>Premium</v>
      </c>
      <c r="D100" t="str">
        <f t="shared" ca="1" si="9"/>
        <v>Europe</v>
      </c>
      <c r="E100" t="str">
        <f t="shared" ca="1" si="10"/>
        <v>Partner</v>
      </c>
      <c r="F100" t="str">
        <f t="shared" ca="1" si="11"/>
        <v>Churned</v>
      </c>
      <c r="G100" s="2">
        <f t="shared" ca="1" si="12"/>
        <v>145</v>
      </c>
      <c r="H100">
        <f t="shared" ca="1" si="13"/>
        <v>12</v>
      </c>
      <c r="I100">
        <f t="shared" ca="1" si="14"/>
        <v>6</v>
      </c>
    </row>
    <row r="101" spans="1:9" x14ac:dyDescent="0.3">
      <c r="A101" t="s">
        <v>108</v>
      </c>
      <c r="B101" s="1">
        <f t="shared" ca="1" si="15"/>
        <v>45139</v>
      </c>
      <c r="C101" t="str">
        <f t="shared" ca="1" si="8"/>
        <v>Basic</v>
      </c>
      <c r="D101" t="str">
        <f t="shared" ca="1" si="9"/>
        <v>Europe</v>
      </c>
      <c r="E101" t="str">
        <f t="shared" ca="1" si="10"/>
        <v>Ads</v>
      </c>
      <c r="F101" t="str">
        <f t="shared" ca="1" si="11"/>
        <v>Churned</v>
      </c>
      <c r="G101" s="2">
        <f t="shared" ca="1" si="12"/>
        <v>23</v>
      </c>
      <c r="H101">
        <f t="shared" ca="1" si="13"/>
        <v>6</v>
      </c>
      <c r="I101">
        <f t="shared" ca="1" si="14"/>
        <v>2</v>
      </c>
    </row>
    <row r="102" spans="1:9" x14ac:dyDescent="0.3">
      <c r="A102" t="s">
        <v>109</v>
      </c>
      <c r="B102" s="1">
        <f t="shared" ca="1" si="15"/>
        <v>45108</v>
      </c>
      <c r="C102" t="str">
        <f t="shared" ca="1" si="8"/>
        <v>Basic</v>
      </c>
      <c r="D102" t="str">
        <f t="shared" ca="1" si="9"/>
        <v>LATAM</v>
      </c>
      <c r="E102" t="str">
        <f t="shared" ca="1" si="10"/>
        <v>Organic</v>
      </c>
      <c r="F102" t="str">
        <f t="shared" ca="1" si="11"/>
        <v>Active</v>
      </c>
      <c r="G102" s="2">
        <f t="shared" ca="1" si="12"/>
        <v>29</v>
      </c>
      <c r="H102">
        <f t="shared" ca="1" si="13"/>
        <v>6</v>
      </c>
      <c r="I102" t="str">
        <f t="shared" ca="1" si="14"/>
        <v/>
      </c>
    </row>
    <row r="103" spans="1:9" x14ac:dyDescent="0.3">
      <c r="A103" t="s">
        <v>110</v>
      </c>
      <c r="B103" s="1">
        <f t="shared" ca="1" si="15"/>
        <v>44986</v>
      </c>
      <c r="C103" t="str">
        <f t="shared" ca="1" si="8"/>
        <v>Premium</v>
      </c>
      <c r="D103" t="str">
        <f t="shared" ca="1" si="9"/>
        <v>North America</v>
      </c>
      <c r="E103" t="str">
        <f t="shared" ca="1" si="10"/>
        <v>Referral</v>
      </c>
      <c r="F103" t="str">
        <f t="shared" ca="1" si="11"/>
        <v>Active</v>
      </c>
      <c r="G103" s="2">
        <f t="shared" ca="1" si="12"/>
        <v>133</v>
      </c>
      <c r="H103">
        <f t="shared" ca="1" si="13"/>
        <v>9</v>
      </c>
      <c r="I103" t="str">
        <f t="shared" ca="1" si="14"/>
        <v/>
      </c>
    </row>
    <row r="104" spans="1:9" x14ac:dyDescent="0.3">
      <c r="A104" t="s">
        <v>111</v>
      </c>
      <c r="B104" s="1">
        <f t="shared" ca="1" si="15"/>
        <v>45017</v>
      </c>
      <c r="C104" t="str">
        <f t="shared" ca="1" si="8"/>
        <v>Premium</v>
      </c>
      <c r="D104" t="str">
        <f t="shared" ca="1" si="9"/>
        <v>North America</v>
      </c>
      <c r="E104" t="str">
        <f t="shared" ca="1" si="10"/>
        <v>Referral</v>
      </c>
      <c r="F104" t="str">
        <f t="shared" ca="1" si="11"/>
        <v>Active</v>
      </c>
      <c r="G104" s="2">
        <f t="shared" ca="1" si="12"/>
        <v>106</v>
      </c>
      <c r="H104">
        <f t="shared" ca="1" si="13"/>
        <v>8</v>
      </c>
      <c r="I104" t="str">
        <f t="shared" ca="1" si="14"/>
        <v/>
      </c>
    </row>
    <row r="105" spans="1:9" x14ac:dyDescent="0.3">
      <c r="A105" t="s">
        <v>112</v>
      </c>
      <c r="B105" s="1">
        <f t="shared" ca="1" si="15"/>
        <v>45231</v>
      </c>
      <c r="C105" t="str">
        <f t="shared" ca="1" si="8"/>
        <v>Premium</v>
      </c>
      <c r="D105" t="str">
        <f t="shared" ca="1" si="9"/>
        <v>North America</v>
      </c>
      <c r="E105" t="str">
        <f t="shared" ca="1" si="10"/>
        <v>Referral</v>
      </c>
      <c r="F105" t="str">
        <f t="shared" ca="1" si="11"/>
        <v>Active</v>
      </c>
      <c r="G105" s="2">
        <f t="shared" ca="1" si="12"/>
        <v>132</v>
      </c>
      <c r="H105">
        <f t="shared" ca="1" si="13"/>
        <v>14</v>
      </c>
      <c r="I105" t="str">
        <f t="shared" ca="1" si="14"/>
        <v/>
      </c>
    </row>
    <row r="106" spans="1:9" x14ac:dyDescent="0.3">
      <c r="A106" t="s">
        <v>113</v>
      </c>
      <c r="B106" s="1">
        <f t="shared" ca="1" si="15"/>
        <v>45170</v>
      </c>
      <c r="C106" t="str">
        <f t="shared" ca="1" si="8"/>
        <v>Basic</v>
      </c>
      <c r="D106" t="str">
        <f t="shared" ca="1" si="9"/>
        <v>North America</v>
      </c>
      <c r="E106" t="str">
        <f t="shared" ca="1" si="10"/>
        <v>Organic</v>
      </c>
      <c r="F106" t="str">
        <f t="shared" ca="1" si="11"/>
        <v>Active</v>
      </c>
      <c r="G106" s="2">
        <f t="shared" ca="1" si="12"/>
        <v>26</v>
      </c>
      <c r="H106">
        <f t="shared" ca="1" si="13"/>
        <v>22</v>
      </c>
      <c r="I106" t="str">
        <f t="shared" ca="1" si="14"/>
        <v/>
      </c>
    </row>
    <row r="107" spans="1:9" x14ac:dyDescent="0.3">
      <c r="A107" t="s">
        <v>114</v>
      </c>
      <c r="B107" s="1">
        <f t="shared" ca="1" si="15"/>
        <v>45170</v>
      </c>
      <c r="C107" t="str">
        <f t="shared" ca="1" si="8"/>
        <v>Premium</v>
      </c>
      <c r="D107" t="str">
        <f t="shared" ca="1" si="9"/>
        <v>LATAM</v>
      </c>
      <c r="E107" t="str">
        <f t="shared" ca="1" si="10"/>
        <v>Ads</v>
      </c>
      <c r="F107" t="str">
        <f t="shared" ca="1" si="11"/>
        <v>Active</v>
      </c>
      <c r="G107" s="2">
        <f t="shared" ca="1" si="12"/>
        <v>100</v>
      </c>
      <c r="H107">
        <f t="shared" ca="1" si="13"/>
        <v>9</v>
      </c>
      <c r="I107" t="str">
        <f t="shared" ca="1" si="14"/>
        <v/>
      </c>
    </row>
    <row r="108" spans="1:9" x14ac:dyDescent="0.3">
      <c r="A108" t="s">
        <v>115</v>
      </c>
      <c r="B108" s="1">
        <f t="shared" ca="1" si="15"/>
        <v>44986</v>
      </c>
      <c r="C108" t="str">
        <f t="shared" ca="1" si="8"/>
        <v>Basic</v>
      </c>
      <c r="D108" t="str">
        <f t="shared" ca="1" si="9"/>
        <v>Europe</v>
      </c>
      <c r="E108" t="str">
        <f t="shared" ca="1" si="10"/>
        <v>Ads</v>
      </c>
      <c r="F108" t="str">
        <f t="shared" ca="1" si="11"/>
        <v>Active</v>
      </c>
      <c r="G108" s="2">
        <f t="shared" ca="1" si="12"/>
        <v>21</v>
      </c>
      <c r="H108">
        <f t="shared" ca="1" si="13"/>
        <v>21</v>
      </c>
      <c r="I108" t="str">
        <f t="shared" ca="1" si="14"/>
        <v/>
      </c>
    </row>
    <row r="109" spans="1:9" x14ac:dyDescent="0.3">
      <c r="A109" t="s">
        <v>116</v>
      </c>
      <c r="B109" s="1">
        <f t="shared" ca="1" si="15"/>
        <v>45139</v>
      </c>
      <c r="C109" t="str">
        <f t="shared" ca="1" si="8"/>
        <v>Premium</v>
      </c>
      <c r="D109" t="str">
        <f t="shared" ca="1" si="9"/>
        <v>APAC</v>
      </c>
      <c r="E109" t="str">
        <f t="shared" ca="1" si="10"/>
        <v>Partner</v>
      </c>
      <c r="F109" t="str">
        <f t="shared" ca="1" si="11"/>
        <v>Active</v>
      </c>
      <c r="G109" s="2">
        <f t="shared" ca="1" si="12"/>
        <v>143</v>
      </c>
      <c r="H109">
        <f t="shared" ca="1" si="13"/>
        <v>24</v>
      </c>
      <c r="I109" t="str">
        <f t="shared" ca="1" si="14"/>
        <v/>
      </c>
    </row>
    <row r="110" spans="1:9" x14ac:dyDescent="0.3">
      <c r="A110" t="s">
        <v>117</v>
      </c>
      <c r="B110" s="1">
        <f t="shared" ca="1" si="15"/>
        <v>45231</v>
      </c>
      <c r="C110" t="str">
        <f t="shared" ca="1" si="8"/>
        <v>Premium</v>
      </c>
      <c r="D110" t="str">
        <f t="shared" ca="1" si="9"/>
        <v>LATAM</v>
      </c>
      <c r="E110" t="str">
        <f t="shared" ca="1" si="10"/>
        <v>Partner</v>
      </c>
      <c r="F110" t="str">
        <f t="shared" ca="1" si="11"/>
        <v>Active</v>
      </c>
      <c r="G110" s="2">
        <f t="shared" ca="1" si="12"/>
        <v>145</v>
      </c>
      <c r="H110">
        <f t="shared" ca="1" si="13"/>
        <v>13</v>
      </c>
      <c r="I110" t="str">
        <f t="shared" ca="1" si="14"/>
        <v/>
      </c>
    </row>
    <row r="111" spans="1:9" x14ac:dyDescent="0.3">
      <c r="A111" t="s">
        <v>118</v>
      </c>
      <c r="B111" s="1">
        <f t="shared" ca="1" si="15"/>
        <v>45231</v>
      </c>
      <c r="C111" t="str">
        <f t="shared" ca="1" si="8"/>
        <v>Standard</v>
      </c>
      <c r="D111" t="str">
        <f t="shared" ca="1" si="9"/>
        <v>Europe</v>
      </c>
      <c r="E111" t="str">
        <f t="shared" ca="1" si="10"/>
        <v>Referral</v>
      </c>
      <c r="F111" t="str">
        <f t="shared" ca="1" si="11"/>
        <v>Churned</v>
      </c>
      <c r="G111" s="2">
        <f t="shared" ca="1" si="12"/>
        <v>66</v>
      </c>
      <c r="H111">
        <f t="shared" ca="1" si="13"/>
        <v>8</v>
      </c>
      <c r="I111">
        <f t="shared" ca="1" si="14"/>
        <v>4</v>
      </c>
    </row>
    <row r="112" spans="1:9" x14ac:dyDescent="0.3">
      <c r="A112" t="s">
        <v>119</v>
      </c>
      <c r="B112" s="1">
        <f t="shared" ca="1" si="15"/>
        <v>45200</v>
      </c>
      <c r="C112" t="str">
        <f t="shared" ca="1" si="8"/>
        <v>Standard</v>
      </c>
      <c r="D112" t="str">
        <f t="shared" ca="1" si="9"/>
        <v>Europe</v>
      </c>
      <c r="E112" t="str">
        <f t="shared" ca="1" si="10"/>
        <v>Partner</v>
      </c>
      <c r="F112" t="str">
        <f t="shared" ca="1" si="11"/>
        <v>Active</v>
      </c>
      <c r="G112" s="2">
        <f t="shared" ca="1" si="12"/>
        <v>72</v>
      </c>
      <c r="H112">
        <f t="shared" ca="1" si="13"/>
        <v>12</v>
      </c>
      <c r="I112" t="str">
        <f t="shared" ca="1" si="14"/>
        <v/>
      </c>
    </row>
    <row r="113" spans="1:9" x14ac:dyDescent="0.3">
      <c r="A113" t="s">
        <v>120</v>
      </c>
      <c r="B113" s="1">
        <f t="shared" ca="1" si="15"/>
        <v>44986</v>
      </c>
      <c r="C113" t="str">
        <f t="shared" ca="1" si="8"/>
        <v>Standard</v>
      </c>
      <c r="D113" t="str">
        <f t="shared" ca="1" si="9"/>
        <v>North America</v>
      </c>
      <c r="E113" t="str">
        <f t="shared" ca="1" si="10"/>
        <v>Ads</v>
      </c>
      <c r="F113" t="str">
        <f t="shared" ca="1" si="11"/>
        <v>Active</v>
      </c>
      <c r="G113" s="2">
        <f t="shared" ca="1" si="12"/>
        <v>68</v>
      </c>
      <c r="H113">
        <f t="shared" ca="1" si="13"/>
        <v>18</v>
      </c>
      <c r="I113" t="str">
        <f t="shared" ca="1" si="14"/>
        <v/>
      </c>
    </row>
    <row r="114" spans="1:9" x14ac:dyDescent="0.3">
      <c r="A114" t="s">
        <v>121</v>
      </c>
      <c r="B114" s="1">
        <f t="shared" ca="1" si="15"/>
        <v>44927</v>
      </c>
      <c r="C114" t="str">
        <f t="shared" ca="1" si="8"/>
        <v>Basic</v>
      </c>
      <c r="D114" t="str">
        <f t="shared" ca="1" si="9"/>
        <v>LATAM</v>
      </c>
      <c r="E114" t="str">
        <f t="shared" ca="1" si="10"/>
        <v>Partner</v>
      </c>
      <c r="F114" t="str">
        <f t="shared" ca="1" si="11"/>
        <v>Churned</v>
      </c>
      <c r="G114" s="2">
        <f t="shared" ca="1" si="12"/>
        <v>36</v>
      </c>
      <c r="H114">
        <f t="shared" ca="1" si="13"/>
        <v>5</v>
      </c>
      <c r="I114">
        <f t="shared" ca="1" si="14"/>
        <v>5</v>
      </c>
    </row>
    <row r="115" spans="1:9" x14ac:dyDescent="0.3">
      <c r="A115" t="s">
        <v>122</v>
      </c>
      <c r="B115" s="1">
        <f t="shared" ca="1" si="15"/>
        <v>45200</v>
      </c>
      <c r="C115" t="str">
        <f t="shared" ca="1" si="8"/>
        <v>Basic</v>
      </c>
      <c r="D115" t="str">
        <f t="shared" ca="1" si="9"/>
        <v>North America</v>
      </c>
      <c r="E115" t="str">
        <f t="shared" ca="1" si="10"/>
        <v>Organic</v>
      </c>
      <c r="F115" t="str">
        <f t="shared" ca="1" si="11"/>
        <v>Active</v>
      </c>
      <c r="G115" s="2">
        <f t="shared" ca="1" si="12"/>
        <v>26</v>
      </c>
      <c r="H115">
        <f t="shared" ca="1" si="13"/>
        <v>14</v>
      </c>
      <c r="I115" t="str">
        <f t="shared" ca="1" si="14"/>
        <v/>
      </c>
    </row>
    <row r="116" spans="1:9" x14ac:dyDescent="0.3">
      <c r="A116" t="s">
        <v>123</v>
      </c>
      <c r="B116" s="1">
        <f t="shared" ca="1" si="15"/>
        <v>44958</v>
      </c>
      <c r="C116" t="str">
        <f t="shared" ca="1" si="8"/>
        <v>Basic</v>
      </c>
      <c r="D116" t="str">
        <f t="shared" ca="1" si="9"/>
        <v>LATAM</v>
      </c>
      <c r="E116" t="str">
        <f t="shared" ca="1" si="10"/>
        <v>Ads</v>
      </c>
      <c r="F116" t="str">
        <f t="shared" ca="1" si="11"/>
        <v>Active</v>
      </c>
      <c r="G116" s="2">
        <f t="shared" ca="1" si="12"/>
        <v>38</v>
      </c>
      <c r="H116">
        <f t="shared" ca="1" si="13"/>
        <v>18</v>
      </c>
      <c r="I116" t="str">
        <f t="shared" ca="1" si="14"/>
        <v/>
      </c>
    </row>
    <row r="117" spans="1:9" x14ac:dyDescent="0.3">
      <c r="A117" t="s">
        <v>124</v>
      </c>
      <c r="B117" s="1">
        <f t="shared" ca="1" si="15"/>
        <v>45047</v>
      </c>
      <c r="C117" t="str">
        <f t="shared" ca="1" si="8"/>
        <v>Premium</v>
      </c>
      <c r="D117" t="str">
        <f t="shared" ca="1" si="9"/>
        <v>APAC</v>
      </c>
      <c r="E117" t="str">
        <f t="shared" ca="1" si="10"/>
        <v>Partner</v>
      </c>
      <c r="F117" t="str">
        <f t="shared" ca="1" si="11"/>
        <v>Active</v>
      </c>
      <c r="G117" s="2">
        <f t="shared" ca="1" si="12"/>
        <v>140</v>
      </c>
      <c r="H117">
        <f t="shared" ca="1" si="13"/>
        <v>18</v>
      </c>
      <c r="I117" t="str">
        <f t="shared" ca="1" si="14"/>
        <v/>
      </c>
    </row>
    <row r="118" spans="1:9" x14ac:dyDescent="0.3">
      <c r="A118" t="s">
        <v>125</v>
      </c>
      <c r="B118" s="1">
        <f t="shared" ca="1" si="15"/>
        <v>45047</v>
      </c>
      <c r="C118" t="str">
        <f t="shared" ca="1" si="8"/>
        <v>Basic</v>
      </c>
      <c r="D118" t="str">
        <f t="shared" ca="1" si="9"/>
        <v>LATAM</v>
      </c>
      <c r="E118" t="str">
        <f t="shared" ca="1" si="10"/>
        <v>Ads</v>
      </c>
      <c r="F118" t="str">
        <f t="shared" ca="1" si="11"/>
        <v>Active</v>
      </c>
      <c r="G118" s="2">
        <f t="shared" ca="1" si="12"/>
        <v>29</v>
      </c>
      <c r="H118">
        <f t="shared" ca="1" si="13"/>
        <v>9</v>
      </c>
      <c r="I118" t="str">
        <f t="shared" ca="1" si="14"/>
        <v/>
      </c>
    </row>
    <row r="119" spans="1:9" x14ac:dyDescent="0.3">
      <c r="A119" t="s">
        <v>126</v>
      </c>
      <c r="B119" s="1">
        <f t="shared" ca="1" si="15"/>
        <v>45170</v>
      </c>
      <c r="C119" t="str">
        <f t="shared" ca="1" si="8"/>
        <v>Standard</v>
      </c>
      <c r="D119" t="str">
        <f t="shared" ca="1" si="9"/>
        <v>Europe</v>
      </c>
      <c r="E119" t="str">
        <f t="shared" ca="1" si="10"/>
        <v>Organic</v>
      </c>
      <c r="F119" t="str">
        <f t="shared" ca="1" si="11"/>
        <v>Churned</v>
      </c>
      <c r="G119" s="2">
        <f t="shared" ca="1" si="12"/>
        <v>59</v>
      </c>
      <c r="H119">
        <f t="shared" ca="1" si="13"/>
        <v>1</v>
      </c>
      <c r="I119">
        <f t="shared" ca="1" si="14"/>
        <v>1</v>
      </c>
    </row>
    <row r="120" spans="1:9" x14ac:dyDescent="0.3">
      <c r="A120" t="s">
        <v>127</v>
      </c>
      <c r="B120" s="1">
        <f t="shared" ca="1" si="15"/>
        <v>45261</v>
      </c>
      <c r="C120" t="str">
        <f t="shared" ca="1" si="8"/>
        <v>Standard</v>
      </c>
      <c r="D120" t="str">
        <f t="shared" ca="1" si="9"/>
        <v>North America</v>
      </c>
      <c r="E120" t="str">
        <f t="shared" ca="1" si="10"/>
        <v>Organic</v>
      </c>
      <c r="F120" t="str">
        <f t="shared" ca="1" si="11"/>
        <v>Active</v>
      </c>
      <c r="G120" s="2">
        <f t="shared" ca="1" si="12"/>
        <v>50</v>
      </c>
      <c r="H120">
        <f t="shared" ca="1" si="13"/>
        <v>17</v>
      </c>
      <c r="I120" t="str">
        <f t="shared" ca="1" si="14"/>
        <v/>
      </c>
    </row>
    <row r="121" spans="1:9" x14ac:dyDescent="0.3">
      <c r="A121" t="s">
        <v>128</v>
      </c>
      <c r="B121" s="1">
        <f t="shared" ca="1" si="15"/>
        <v>45170</v>
      </c>
      <c r="C121" t="str">
        <f t="shared" ca="1" si="8"/>
        <v>Basic</v>
      </c>
      <c r="D121" t="str">
        <f t="shared" ca="1" si="9"/>
        <v>Europe</v>
      </c>
      <c r="E121" t="str">
        <f t="shared" ca="1" si="10"/>
        <v>Referral</v>
      </c>
      <c r="F121" t="str">
        <f t="shared" ca="1" si="11"/>
        <v>Active</v>
      </c>
      <c r="G121" s="2">
        <f t="shared" ca="1" si="12"/>
        <v>28</v>
      </c>
      <c r="H121">
        <f t="shared" ca="1" si="13"/>
        <v>4</v>
      </c>
      <c r="I121" t="str">
        <f t="shared" ca="1" si="14"/>
        <v/>
      </c>
    </row>
    <row r="122" spans="1:9" x14ac:dyDescent="0.3">
      <c r="A122" t="s">
        <v>129</v>
      </c>
      <c r="B122" s="1">
        <f t="shared" ca="1" si="15"/>
        <v>45017</v>
      </c>
      <c r="C122" t="str">
        <f t="shared" ca="1" si="8"/>
        <v>Standard</v>
      </c>
      <c r="D122" t="str">
        <f t="shared" ca="1" si="9"/>
        <v>LATAM</v>
      </c>
      <c r="E122" t="str">
        <f t="shared" ca="1" si="10"/>
        <v>Ads</v>
      </c>
      <c r="F122" t="str">
        <f t="shared" ca="1" si="11"/>
        <v>Churned</v>
      </c>
      <c r="G122" s="2">
        <f t="shared" ca="1" si="12"/>
        <v>70</v>
      </c>
      <c r="H122">
        <f t="shared" ca="1" si="13"/>
        <v>16</v>
      </c>
      <c r="I122">
        <f t="shared" ca="1" si="14"/>
        <v>15</v>
      </c>
    </row>
    <row r="123" spans="1:9" x14ac:dyDescent="0.3">
      <c r="A123" t="s">
        <v>130</v>
      </c>
      <c r="B123" s="1">
        <f t="shared" ca="1" si="15"/>
        <v>45139</v>
      </c>
      <c r="C123" t="str">
        <f t="shared" ca="1" si="8"/>
        <v>Basic</v>
      </c>
      <c r="D123" t="str">
        <f t="shared" ca="1" si="9"/>
        <v>North America</v>
      </c>
      <c r="E123" t="str">
        <f t="shared" ca="1" si="10"/>
        <v>Partner</v>
      </c>
      <c r="F123" t="str">
        <f t="shared" ca="1" si="11"/>
        <v>Active</v>
      </c>
      <c r="G123" s="2">
        <f t="shared" ca="1" si="12"/>
        <v>35</v>
      </c>
      <c r="H123">
        <f t="shared" ca="1" si="13"/>
        <v>23</v>
      </c>
      <c r="I123" t="str">
        <f t="shared" ca="1" si="14"/>
        <v/>
      </c>
    </row>
    <row r="124" spans="1:9" x14ac:dyDescent="0.3">
      <c r="A124" t="s">
        <v>131</v>
      </c>
      <c r="B124" s="1">
        <f t="shared" ca="1" si="15"/>
        <v>45017</v>
      </c>
      <c r="C124" t="str">
        <f t="shared" ca="1" si="8"/>
        <v>Standard</v>
      </c>
      <c r="D124" t="str">
        <f t="shared" ca="1" si="9"/>
        <v>APAC</v>
      </c>
      <c r="E124" t="str">
        <f t="shared" ca="1" si="10"/>
        <v>Ads</v>
      </c>
      <c r="F124" t="str">
        <f t="shared" ca="1" si="11"/>
        <v>Active</v>
      </c>
      <c r="G124" s="2">
        <f t="shared" ca="1" si="12"/>
        <v>63</v>
      </c>
      <c r="H124">
        <f t="shared" ca="1" si="13"/>
        <v>13</v>
      </c>
      <c r="I124" t="str">
        <f t="shared" ca="1" si="14"/>
        <v/>
      </c>
    </row>
    <row r="125" spans="1:9" x14ac:dyDescent="0.3">
      <c r="A125" t="s">
        <v>132</v>
      </c>
      <c r="B125" s="1">
        <f t="shared" ca="1" si="15"/>
        <v>45108</v>
      </c>
      <c r="C125" t="str">
        <f t="shared" ca="1" si="8"/>
        <v>Premium</v>
      </c>
      <c r="D125" t="str">
        <f t="shared" ca="1" si="9"/>
        <v>Europe</v>
      </c>
      <c r="E125" t="str">
        <f t="shared" ca="1" si="10"/>
        <v>Partner</v>
      </c>
      <c r="F125" t="str">
        <f t="shared" ca="1" si="11"/>
        <v>Active</v>
      </c>
      <c r="G125" s="2">
        <f t="shared" ca="1" si="12"/>
        <v>108</v>
      </c>
      <c r="H125">
        <f t="shared" ca="1" si="13"/>
        <v>11</v>
      </c>
      <c r="I125" t="str">
        <f t="shared" ca="1" si="14"/>
        <v/>
      </c>
    </row>
    <row r="126" spans="1:9" x14ac:dyDescent="0.3">
      <c r="A126" t="s">
        <v>133</v>
      </c>
      <c r="B126" s="1">
        <f t="shared" ca="1" si="15"/>
        <v>44986</v>
      </c>
      <c r="C126" t="str">
        <f t="shared" ca="1" si="8"/>
        <v>Premium</v>
      </c>
      <c r="D126" t="str">
        <f t="shared" ca="1" si="9"/>
        <v>North America</v>
      </c>
      <c r="E126" t="str">
        <f t="shared" ca="1" si="10"/>
        <v>Referral</v>
      </c>
      <c r="F126" t="str">
        <f t="shared" ca="1" si="11"/>
        <v>Active</v>
      </c>
      <c r="G126" s="2">
        <f t="shared" ca="1" si="12"/>
        <v>116</v>
      </c>
      <c r="H126">
        <f t="shared" ca="1" si="13"/>
        <v>23</v>
      </c>
      <c r="I126" t="str">
        <f t="shared" ca="1" si="14"/>
        <v/>
      </c>
    </row>
    <row r="127" spans="1:9" x14ac:dyDescent="0.3">
      <c r="A127" t="s">
        <v>134</v>
      </c>
      <c r="B127" s="1">
        <f t="shared" ca="1" si="15"/>
        <v>45047</v>
      </c>
      <c r="C127" t="str">
        <f t="shared" ca="1" si="8"/>
        <v>Basic</v>
      </c>
      <c r="D127" t="str">
        <f t="shared" ca="1" si="9"/>
        <v>LATAM</v>
      </c>
      <c r="E127" t="str">
        <f t="shared" ca="1" si="10"/>
        <v>Ads</v>
      </c>
      <c r="F127" t="str">
        <f t="shared" ca="1" si="11"/>
        <v>Active</v>
      </c>
      <c r="G127" s="2">
        <f t="shared" ca="1" si="12"/>
        <v>37</v>
      </c>
      <c r="H127">
        <f t="shared" ca="1" si="13"/>
        <v>20</v>
      </c>
      <c r="I127" t="str">
        <f t="shared" ca="1" si="14"/>
        <v/>
      </c>
    </row>
    <row r="128" spans="1:9" x14ac:dyDescent="0.3">
      <c r="A128" t="s">
        <v>135</v>
      </c>
      <c r="B128" s="1">
        <f t="shared" ca="1" si="15"/>
        <v>45261</v>
      </c>
      <c r="C128" t="str">
        <f t="shared" ca="1" si="8"/>
        <v>Standard</v>
      </c>
      <c r="D128" t="str">
        <f t="shared" ca="1" si="9"/>
        <v>Europe</v>
      </c>
      <c r="E128" t="str">
        <f t="shared" ca="1" si="10"/>
        <v>Ads</v>
      </c>
      <c r="F128" t="str">
        <f t="shared" ca="1" si="11"/>
        <v>Churned</v>
      </c>
      <c r="G128" s="2">
        <f t="shared" ca="1" si="12"/>
        <v>74</v>
      </c>
      <c r="H128">
        <f t="shared" ca="1" si="13"/>
        <v>17</v>
      </c>
      <c r="I128">
        <f t="shared" ca="1" si="14"/>
        <v>16</v>
      </c>
    </row>
    <row r="129" spans="1:9" x14ac:dyDescent="0.3">
      <c r="A129" t="s">
        <v>136</v>
      </c>
      <c r="B129" s="1">
        <f t="shared" ca="1" si="15"/>
        <v>45078</v>
      </c>
      <c r="C129" t="str">
        <f t="shared" ca="1" si="8"/>
        <v>Premium</v>
      </c>
      <c r="D129" t="str">
        <f t="shared" ca="1" si="9"/>
        <v>APAC</v>
      </c>
      <c r="E129" t="str">
        <f t="shared" ca="1" si="10"/>
        <v>Partner</v>
      </c>
      <c r="F129" t="str">
        <f t="shared" ca="1" si="11"/>
        <v>Churned</v>
      </c>
      <c r="G129" s="2">
        <f t="shared" ca="1" si="12"/>
        <v>103</v>
      </c>
      <c r="H129">
        <f t="shared" ca="1" si="13"/>
        <v>22</v>
      </c>
      <c r="I129">
        <f t="shared" ca="1" si="14"/>
        <v>7</v>
      </c>
    </row>
    <row r="130" spans="1:9" x14ac:dyDescent="0.3">
      <c r="A130" t="s">
        <v>137</v>
      </c>
      <c r="B130" s="1">
        <f t="shared" ca="1" si="15"/>
        <v>45231</v>
      </c>
      <c r="C130" t="str">
        <f t="shared" ca="1" si="8"/>
        <v>Standard</v>
      </c>
      <c r="D130" t="str">
        <f t="shared" ca="1" si="9"/>
        <v>Europe</v>
      </c>
      <c r="E130" t="str">
        <f t="shared" ca="1" si="10"/>
        <v>Referral</v>
      </c>
      <c r="F130" t="str">
        <f t="shared" ca="1" si="11"/>
        <v>Active</v>
      </c>
      <c r="G130" s="2">
        <f t="shared" ca="1" si="12"/>
        <v>52</v>
      </c>
      <c r="H130">
        <f t="shared" ca="1" si="13"/>
        <v>9</v>
      </c>
      <c r="I130" t="str">
        <f t="shared" ca="1" si="14"/>
        <v/>
      </c>
    </row>
    <row r="131" spans="1:9" x14ac:dyDescent="0.3">
      <c r="A131" t="s">
        <v>138</v>
      </c>
      <c r="B131" s="1">
        <f t="shared" ca="1" si="15"/>
        <v>45108</v>
      </c>
      <c r="C131" t="str">
        <f t="shared" ref="C131:C151" ca="1" si="16">CHOOSE(RANDBETWEEN(1,3),"Basic","Standard","Premium")</f>
        <v>Standard</v>
      </c>
      <c r="D131" t="str">
        <f t="shared" ref="D131:D151" ca="1" si="17">CHOOSE(RANDBETWEEN(1,4),"North America","Europe","APAC","LATAM")</f>
        <v>North America</v>
      </c>
      <c r="E131" t="str">
        <f t="shared" ref="E131:E151" ca="1" si="18">CHOOSE(RANDBETWEEN(1,4),"Ads","Organic","Referral","Partner")</f>
        <v>Ads</v>
      </c>
      <c r="F131" t="str">
        <f t="shared" ref="F131:F151" ca="1" si="19">IF(RAND()&lt;=0.7,"Active","Churned")</f>
        <v>Active</v>
      </c>
      <c r="G131" s="2">
        <f t="shared" ref="G131:G151" ca="1" si="20">IF(C131="Basic", RANDBETWEEN(20,40),
   IF(C131="Standard", RANDBETWEEN(50,80),
   RANDBETWEEN(100,150)))</f>
        <v>80</v>
      </c>
      <c r="H131">
        <f t="shared" ref="H131:H151" ca="1" si="21">RANDBETWEEN(1,24)</f>
        <v>10</v>
      </c>
      <c r="I131" t="str">
        <f t="shared" ref="I131:I151" ca="1" si="22">IF(F131="Churned", RANDBETWEEN(1, H131), "")</f>
        <v/>
      </c>
    </row>
    <row r="132" spans="1:9" x14ac:dyDescent="0.3">
      <c r="A132" t="s">
        <v>139</v>
      </c>
      <c r="B132" s="1">
        <f t="shared" ref="B132:B151" ca="1" si="23">DATE(2023, RANDBETWEEN(1,12), 1)</f>
        <v>45200</v>
      </c>
      <c r="C132" t="str">
        <f t="shared" ca="1" si="16"/>
        <v>Premium</v>
      </c>
      <c r="D132" t="str">
        <f t="shared" ca="1" si="17"/>
        <v>Europe</v>
      </c>
      <c r="E132" t="str">
        <f t="shared" ca="1" si="18"/>
        <v>Partner</v>
      </c>
      <c r="F132" t="str">
        <f t="shared" ca="1" si="19"/>
        <v>Active</v>
      </c>
      <c r="G132" s="2">
        <f t="shared" ca="1" si="20"/>
        <v>110</v>
      </c>
      <c r="H132">
        <f t="shared" ca="1" si="21"/>
        <v>10</v>
      </c>
      <c r="I132" t="str">
        <f t="shared" ca="1" si="22"/>
        <v/>
      </c>
    </row>
    <row r="133" spans="1:9" x14ac:dyDescent="0.3">
      <c r="A133" t="s">
        <v>140</v>
      </c>
      <c r="B133" s="1">
        <f t="shared" ca="1" si="23"/>
        <v>44958</v>
      </c>
      <c r="C133" t="str">
        <f t="shared" ca="1" si="16"/>
        <v>Premium</v>
      </c>
      <c r="D133" t="str">
        <f t="shared" ca="1" si="17"/>
        <v>LATAM</v>
      </c>
      <c r="E133" t="str">
        <f t="shared" ca="1" si="18"/>
        <v>Organic</v>
      </c>
      <c r="F133" t="str">
        <f t="shared" ca="1" si="19"/>
        <v>Churned</v>
      </c>
      <c r="G133" s="2">
        <f t="shared" ca="1" si="20"/>
        <v>123</v>
      </c>
      <c r="H133">
        <f t="shared" ca="1" si="21"/>
        <v>10</v>
      </c>
      <c r="I133">
        <f t="shared" ca="1" si="22"/>
        <v>10</v>
      </c>
    </row>
    <row r="134" spans="1:9" x14ac:dyDescent="0.3">
      <c r="A134" t="s">
        <v>141</v>
      </c>
      <c r="B134" s="1">
        <f t="shared" ca="1" si="23"/>
        <v>45200</v>
      </c>
      <c r="C134" t="str">
        <f t="shared" ca="1" si="16"/>
        <v>Standard</v>
      </c>
      <c r="D134" t="str">
        <f t="shared" ca="1" si="17"/>
        <v>LATAM</v>
      </c>
      <c r="E134" t="str">
        <f t="shared" ca="1" si="18"/>
        <v>Organic</v>
      </c>
      <c r="F134" t="str">
        <f t="shared" ca="1" si="19"/>
        <v>Active</v>
      </c>
      <c r="G134" s="2">
        <f t="shared" ca="1" si="20"/>
        <v>65</v>
      </c>
      <c r="H134">
        <f t="shared" ca="1" si="21"/>
        <v>19</v>
      </c>
      <c r="I134" t="str">
        <f t="shared" ca="1" si="22"/>
        <v/>
      </c>
    </row>
    <row r="135" spans="1:9" x14ac:dyDescent="0.3">
      <c r="A135" t="s">
        <v>142</v>
      </c>
      <c r="B135" s="1">
        <f t="shared" ca="1" si="23"/>
        <v>45170</v>
      </c>
      <c r="C135" t="str">
        <f t="shared" ca="1" si="16"/>
        <v>Standard</v>
      </c>
      <c r="D135" t="str">
        <f t="shared" ca="1" si="17"/>
        <v>Europe</v>
      </c>
      <c r="E135" t="str">
        <f t="shared" ca="1" si="18"/>
        <v>Ads</v>
      </c>
      <c r="F135" t="str">
        <f t="shared" ca="1" si="19"/>
        <v>Churned</v>
      </c>
      <c r="G135" s="2">
        <f t="shared" ca="1" si="20"/>
        <v>58</v>
      </c>
      <c r="H135">
        <f t="shared" ca="1" si="21"/>
        <v>14</v>
      </c>
      <c r="I135">
        <f t="shared" ca="1" si="22"/>
        <v>14</v>
      </c>
    </row>
    <row r="136" spans="1:9" x14ac:dyDescent="0.3">
      <c r="A136" t="s">
        <v>143</v>
      </c>
      <c r="B136" s="1">
        <f t="shared" ca="1" si="23"/>
        <v>45231</v>
      </c>
      <c r="C136" t="str">
        <f t="shared" ca="1" si="16"/>
        <v>Standard</v>
      </c>
      <c r="D136" t="str">
        <f t="shared" ca="1" si="17"/>
        <v>North America</v>
      </c>
      <c r="E136" t="str">
        <f t="shared" ca="1" si="18"/>
        <v>Referral</v>
      </c>
      <c r="F136" t="str">
        <f t="shared" ca="1" si="19"/>
        <v>Churned</v>
      </c>
      <c r="G136" s="2">
        <f t="shared" ca="1" si="20"/>
        <v>55</v>
      </c>
      <c r="H136">
        <f t="shared" ca="1" si="21"/>
        <v>12</v>
      </c>
      <c r="I136">
        <f t="shared" ca="1" si="22"/>
        <v>10</v>
      </c>
    </row>
    <row r="137" spans="1:9" x14ac:dyDescent="0.3">
      <c r="A137" t="s">
        <v>144</v>
      </c>
      <c r="B137" s="1">
        <f t="shared" ca="1" si="23"/>
        <v>45170</v>
      </c>
      <c r="C137" t="str">
        <f t="shared" ca="1" si="16"/>
        <v>Basic</v>
      </c>
      <c r="D137" t="str">
        <f t="shared" ca="1" si="17"/>
        <v>LATAM</v>
      </c>
      <c r="E137" t="str">
        <f t="shared" ca="1" si="18"/>
        <v>Organic</v>
      </c>
      <c r="F137" t="str">
        <f t="shared" ca="1" si="19"/>
        <v>Active</v>
      </c>
      <c r="G137" s="2">
        <f t="shared" ca="1" si="20"/>
        <v>29</v>
      </c>
      <c r="H137">
        <f t="shared" ca="1" si="21"/>
        <v>10</v>
      </c>
      <c r="I137" t="str">
        <f t="shared" ca="1" si="22"/>
        <v/>
      </c>
    </row>
    <row r="138" spans="1:9" x14ac:dyDescent="0.3">
      <c r="A138" t="s">
        <v>145</v>
      </c>
      <c r="B138" s="1">
        <f t="shared" ca="1" si="23"/>
        <v>45139</v>
      </c>
      <c r="C138" t="str">
        <f t="shared" ca="1" si="16"/>
        <v>Premium</v>
      </c>
      <c r="D138" t="str">
        <f t="shared" ca="1" si="17"/>
        <v>APAC</v>
      </c>
      <c r="E138" t="str">
        <f t="shared" ca="1" si="18"/>
        <v>Ads</v>
      </c>
      <c r="F138" t="str">
        <f t="shared" ca="1" si="19"/>
        <v>Active</v>
      </c>
      <c r="G138" s="2">
        <f t="shared" ca="1" si="20"/>
        <v>101</v>
      </c>
      <c r="H138">
        <f t="shared" ca="1" si="21"/>
        <v>23</v>
      </c>
      <c r="I138" t="str">
        <f t="shared" ca="1" si="22"/>
        <v/>
      </c>
    </row>
    <row r="139" spans="1:9" x14ac:dyDescent="0.3">
      <c r="A139" t="s">
        <v>146</v>
      </c>
      <c r="B139" s="1">
        <f t="shared" ca="1" si="23"/>
        <v>45108</v>
      </c>
      <c r="C139" t="str">
        <f t="shared" ca="1" si="16"/>
        <v>Standard</v>
      </c>
      <c r="D139" t="str">
        <f t="shared" ca="1" si="17"/>
        <v>Europe</v>
      </c>
      <c r="E139" t="str">
        <f t="shared" ca="1" si="18"/>
        <v>Ads</v>
      </c>
      <c r="F139" t="str">
        <f t="shared" ca="1" si="19"/>
        <v>Active</v>
      </c>
      <c r="G139" s="2">
        <f t="shared" ca="1" si="20"/>
        <v>59</v>
      </c>
      <c r="H139">
        <f t="shared" ca="1" si="21"/>
        <v>2</v>
      </c>
      <c r="I139" t="str">
        <f t="shared" ca="1" si="22"/>
        <v/>
      </c>
    </row>
    <row r="140" spans="1:9" x14ac:dyDescent="0.3">
      <c r="A140" t="s">
        <v>147</v>
      </c>
      <c r="B140" s="1">
        <f t="shared" ca="1" si="23"/>
        <v>44927</v>
      </c>
      <c r="C140" t="str">
        <f t="shared" ca="1" si="16"/>
        <v>Standard</v>
      </c>
      <c r="D140" t="str">
        <f t="shared" ca="1" si="17"/>
        <v>APAC</v>
      </c>
      <c r="E140" t="str">
        <f t="shared" ca="1" si="18"/>
        <v>Ads</v>
      </c>
      <c r="F140" t="str">
        <f t="shared" ca="1" si="19"/>
        <v>Active</v>
      </c>
      <c r="G140" s="2">
        <f t="shared" ca="1" si="20"/>
        <v>77</v>
      </c>
      <c r="H140">
        <f t="shared" ca="1" si="21"/>
        <v>15</v>
      </c>
      <c r="I140" t="str">
        <f t="shared" ca="1" si="22"/>
        <v/>
      </c>
    </row>
    <row r="141" spans="1:9" x14ac:dyDescent="0.3">
      <c r="A141" t="s">
        <v>148</v>
      </c>
      <c r="B141" s="1">
        <f t="shared" ca="1" si="23"/>
        <v>45078</v>
      </c>
      <c r="C141" t="str">
        <f t="shared" ca="1" si="16"/>
        <v>Basic</v>
      </c>
      <c r="D141" t="str">
        <f t="shared" ca="1" si="17"/>
        <v>LATAM</v>
      </c>
      <c r="E141" t="str">
        <f t="shared" ca="1" si="18"/>
        <v>Partner</v>
      </c>
      <c r="F141" t="str">
        <f t="shared" ca="1" si="19"/>
        <v>Churned</v>
      </c>
      <c r="G141" s="2">
        <f t="shared" ca="1" si="20"/>
        <v>31</v>
      </c>
      <c r="H141">
        <f t="shared" ca="1" si="21"/>
        <v>16</v>
      </c>
      <c r="I141">
        <f t="shared" ca="1" si="22"/>
        <v>12</v>
      </c>
    </row>
    <row r="142" spans="1:9" x14ac:dyDescent="0.3">
      <c r="A142" t="s">
        <v>149</v>
      </c>
      <c r="B142" s="1">
        <f t="shared" ca="1" si="23"/>
        <v>45231</v>
      </c>
      <c r="C142" t="str">
        <f t="shared" ca="1" si="16"/>
        <v>Standard</v>
      </c>
      <c r="D142" t="str">
        <f t="shared" ca="1" si="17"/>
        <v>APAC</v>
      </c>
      <c r="E142" t="str">
        <f t="shared" ca="1" si="18"/>
        <v>Ads</v>
      </c>
      <c r="F142" t="str">
        <f t="shared" ca="1" si="19"/>
        <v>Active</v>
      </c>
      <c r="G142" s="2">
        <f t="shared" ca="1" si="20"/>
        <v>71</v>
      </c>
      <c r="H142">
        <f t="shared" ca="1" si="21"/>
        <v>8</v>
      </c>
      <c r="I142" t="str">
        <f t="shared" ca="1" si="22"/>
        <v/>
      </c>
    </row>
    <row r="143" spans="1:9" x14ac:dyDescent="0.3">
      <c r="A143" t="s">
        <v>150</v>
      </c>
      <c r="B143" s="1">
        <f t="shared" ca="1" si="23"/>
        <v>45231</v>
      </c>
      <c r="C143" t="str">
        <f t="shared" ca="1" si="16"/>
        <v>Basic</v>
      </c>
      <c r="D143" t="str">
        <f t="shared" ca="1" si="17"/>
        <v>APAC</v>
      </c>
      <c r="E143" t="str">
        <f t="shared" ca="1" si="18"/>
        <v>Partner</v>
      </c>
      <c r="F143" t="str">
        <f t="shared" ca="1" si="19"/>
        <v>Churned</v>
      </c>
      <c r="G143" s="2">
        <f t="shared" ca="1" si="20"/>
        <v>34</v>
      </c>
      <c r="H143">
        <f t="shared" ca="1" si="21"/>
        <v>19</v>
      </c>
      <c r="I143">
        <f t="shared" ca="1" si="22"/>
        <v>3</v>
      </c>
    </row>
    <row r="144" spans="1:9" x14ac:dyDescent="0.3">
      <c r="A144" t="s">
        <v>151</v>
      </c>
      <c r="B144" s="1">
        <f t="shared" ca="1" si="23"/>
        <v>44986</v>
      </c>
      <c r="C144" t="str">
        <f t="shared" ca="1" si="16"/>
        <v>Standard</v>
      </c>
      <c r="D144" t="str">
        <f t="shared" ca="1" si="17"/>
        <v>Europe</v>
      </c>
      <c r="E144" t="str">
        <f t="shared" ca="1" si="18"/>
        <v>Referral</v>
      </c>
      <c r="F144" t="str">
        <f t="shared" ca="1" si="19"/>
        <v>Active</v>
      </c>
      <c r="G144" s="2">
        <f t="shared" ca="1" si="20"/>
        <v>52</v>
      </c>
      <c r="H144">
        <f t="shared" ca="1" si="21"/>
        <v>9</v>
      </c>
      <c r="I144" t="str">
        <f t="shared" ca="1" si="22"/>
        <v/>
      </c>
    </row>
    <row r="145" spans="1:9" x14ac:dyDescent="0.3">
      <c r="A145" t="s">
        <v>152</v>
      </c>
      <c r="B145" s="1">
        <f t="shared" ca="1" si="23"/>
        <v>45261</v>
      </c>
      <c r="C145" t="str">
        <f t="shared" ca="1" si="16"/>
        <v>Basic</v>
      </c>
      <c r="D145" t="str">
        <f t="shared" ca="1" si="17"/>
        <v>LATAM</v>
      </c>
      <c r="E145" t="str">
        <f t="shared" ca="1" si="18"/>
        <v>Referral</v>
      </c>
      <c r="F145" t="str">
        <f t="shared" ca="1" si="19"/>
        <v>Churned</v>
      </c>
      <c r="G145" s="2">
        <f t="shared" ca="1" si="20"/>
        <v>25</v>
      </c>
      <c r="H145">
        <f t="shared" ca="1" si="21"/>
        <v>17</v>
      </c>
      <c r="I145">
        <f t="shared" ca="1" si="22"/>
        <v>8</v>
      </c>
    </row>
    <row r="146" spans="1:9" x14ac:dyDescent="0.3">
      <c r="A146" t="s">
        <v>153</v>
      </c>
      <c r="B146" s="1">
        <f t="shared" ca="1" si="23"/>
        <v>45108</v>
      </c>
      <c r="C146" t="str">
        <f t="shared" ca="1" si="16"/>
        <v>Premium</v>
      </c>
      <c r="D146" t="str">
        <f t="shared" ca="1" si="17"/>
        <v>APAC</v>
      </c>
      <c r="E146" t="str">
        <f t="shared" ca="1" si="18"/>
        <v>Referral</v>
      </c>
      <c r="F146" t="str">
        <f t="shared" ca="1" si="19"/>
        <v>Active</v>
      </c>
      <c r="G146" s="2">
        <f t="shared" ca="1" si="20"/>
        <v>107</v>
      </c>
      <c r="H146">
        <f t="shared" ca="1" si="21"/>
        <v>11</v>
      </c>
      <c r="I146" t="str">
        <f t="shared" ca="1" si="22"/>
        <v/>
      </c>
    </row>
    <row r="147" spans="1:9" x14ac:dyDescent="0.3">
      <c r="A147" t="s">
        <v>154</v>
      </c>
      <c r="B147" s="1">
        <f t="shared" ca="1" si="23"/>
        <v>45231</v>
      </c>
      <c r="C147" t="str">
        <f t="shared" ca="1" si="16"/>
        <v>Premium</v>
      </c>
      <c r="D147" t="str">
        <f t="shared" ca="1" si="17"/>
        <v>APAC</v>
      </c>
      <c r="E147" t="str">
        <f t="shared" ca="1" si="18"/>
        <v>Organic</v>
      </c>
      <c r="F147" t="str">
        <f t="shared" ca="1" si="19"/>
        <v>Active</v>
      </c>
      <c r="G147" s="2">
        <f t="shared" ca="1" si="20"/>
        <v>103</v>
      </c>
      <c r="H147">
        <f t="shared" ca="1" si="21"/>
        <v>3</v>
      </c>
      <c r="I147" t="str">
        <f t="shared" ca="1" si="22"/>
        <v/>
      </c>
    </row>
    <row r="148" spans="1:9" x14ac:dyDescent="0.3">
      <c r="A148" t="s">
        <v>155</v>
      </c>
      <c r="B148" s="1">
        <f t="shared" ca="1" si="23"/>
        <v>45017</v>
      </c>
      <c r="C148" t="str">
        <f t="shared" ca="1" si="16"/>
        <v>Standard</v>
      </c>
      <c r="D148" t="str">
        <f t="shared" ca="1" si="17"/>
        <v>LATAM</v>
      </c>
      <c r="E148" t="str">
        <f t="shared" ca="1" si="18"/>
        <v>Referral</v>
      </c>
      <c r="F148" t="str">
        <f t="shared" ca="1" si="19"/>
        <v>Active</v>
      </c>
      <c r="G148" s="2">
        <f t="shared" ca="1" si="20"/>
        <v>72</v>
      </c>
      <c r="H148">
        <f t="shared" ca="1" si="21"/>
        <v>24</v>
      </c>
      <c r="I148" t="str">
        <f t="shared" ca="1" si="22"/>
        <v/>
      </c>
    </row>
    <row r="149" spans="1:9" x14ac:dyDescent="0.3">
      <c r="A149" t="s">
        <v>156</v>
      </c>
      <c r="B149" s="1">
        <f t="shared" ca="1" si="23"/>
        <v>45139</v>
      </c>
      <c r="C149" t="str">
        <f t="shared" ca="1" si="16"/>
        <v>Standard</v>
      </c>
      <c r="D149" t="str">
        <f t="shared" ca="1" si="17"/>
        <v>Europe</v>
      </c>
      <c r="E149" t="str">
        <f t="shared" ca="1" si="18"/>
        <v>Partner</v>
      </c>
      <c r="F149" t="str">
        <f t="shared" ca="1" si="19"/>
        <v>Churned</v>
      </c>
      <c r="G149" s="2">
        <f t="shared" ca="1" si="20"/>
        <v>52</v>
      </c>
      <c r="H149">
        <f t="shared" ca="1" si="21"/>
        <v>5</v>
      </c>
      <c r="I149">
        <f t="shared" ca="1" si="22"/>
        <v>5</v>
      </c>
    </row>
    <row r="150" spans="1:9" x14ac:dyDescent="0.3">
      <c r="A150" t="s">
        <v>157</v>
      </c>
      <c r="B150" s="1">
        <f t="shared" ca="1" si="23"/>
        <v>45231</v>
      </c>
      <c r="C150" t="str">
        <f t="shared" ca="1" si="16"/>
        <v>Premium</v>
      </c>
      <c r="D150" t="str">
        <f t="shared" ca="1" si="17"/>
        <v>APAC</v>
      </c>
      <c r="E150" t="str">
        <f t="shared" ca="1" si="18"/>
        <v>Ads</v>
      </c>
      <c r="F150" t="str">
        <f t="shared" ca="1" si="19"/>
        <v>Active</v>
      </c>
      <c r="G150" s="2">
        <f t="shared" ca="1" si="20"/>
        <v>118</v>
      </c>
      <c r="H150">
        <f t="shared" ca="1" si="21"/>
        <v>11</v>
      </c>
      <c r="I150" t="str">
        <f t="shared" ca="1" si="22"/>
        <v/>
      </c>
    </row>
    <row r="151" spans="1:9" x14ac:dyDescent="0.3">
      <c r="A151" t="s">
        <v>158</v>
      </c>
      <c r="B151" s="1">
        <f t="shared" ca="1" si="23"/>
        <v>45200</v>
      </c>
      <c r="C151" t="str">
        <f t="shared" ca="1" si="16"/>
        <v>Standard</v>
      </c>
      <c r="D151" t="str">
        <f t="shared" ca="1" si="17"/>
        <v>North America</v>
      </c>
      <c r="E151" t="str">
        <f t="shared" ca="1" si="18"/>
        <v>Ads</v>
      </c>
      <c r="F151" t="str">
        <f t="shared" ca="1" si="19"/>
        <v>Active</v>
      </c>
      <c r="G151" s="2">
        <f t="shared" ca="1" si="20"/>
        <v>54</v>
      </c>
      <c r="H151">
        <f t="shared" ca="1" si="21"/>
        <v>21</v>
      </c>
      <c r="I151" t="str">
        <f t="shared" ca="1" si="22"/>
        <v/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Bynigeri, Sai Siddesh Reddy</dc:creator>
  <cp:lastModifiedBy>Bynigeri, Sai Siddesh Reddy</cp:lastModifiedBy>
  <dcterms:created xsi:type="dcterms:W3CDTF">2025-11-29T09:32:58Z</dcterms:created>
  <dcterms:modified xsi:type="dcterms:W3CDTF">2025-11-29T09:50:43Z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2025-11-29T09:33:41Z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f426145b-f71d-41bc-9fe6-972236e46d48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10, 3, 0, 1</vt:lpwstr>
  </property>
</Properties>
</file>